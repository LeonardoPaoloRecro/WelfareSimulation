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Variables" sheetId="1" r:id="rId5"/>
    <sheet state="visible" name="GDP in Details" sheetId="2" r:id="rId6"/>
  </sheets>
  <definedNames/>
  <calcPr/>
</workbook>
</file>

<file path=xl/sharedStrings.xml><?xml version="1.0" encoding="utf-8"?>
<sst xmlns="http://schemas.openxmlformats.org/spreadsheetml/2006/main" count="1704" uniqueCount="61">
  <si>
    <t xml:space="preserve">*Links:   1. Bureau of Economic Analysis (BEA). Table 1.1.6. Real Gross Domestic Product, Chained Dollars. Available at: https://apps.bea.gov/iTable/
2. U.S. Census Bureau. Historical National Population Estimates: July 1, 1900 to July 1, 1999. Available at: https://www2.census.gov/programs-surveys/popest/tables/1900-1980/national/totals/popclockest.txt
3. US. Census Bureau. NST-EST2009-ALLDATA: Annual Population Estimates, 2000-2009. Available at: https://www2.census.gov/programs-surveys/popest/datasets/2000-2009/national/totals/nst_est2009_alldata.csv
4. U.S. Census Bureau. National Population Totals: 2010-2019. Available at: https://www.census.gov/data/datasets/time-series/demo/popest/2010s-national-total.html
5. U.S. Census Bureau. National Population Totals: 2020-2025. Available at: https://www.census.gov/data/tables/time-series/demo/popest/2020s-national-total.html
6. https://fred.stlouisfed.org/series/A939RC0A052NBEA
</t>
  </si>
  <si>
    <r>
      <rPr/>
      <t xml:space="preserve">* Links 1: </t>
    </r>
    <r>
      <rPr>
        <color rgb="FF1155CC"/>
        <u/>
      </rPr>
      <t>https://www.bls.gov/opub/mlr/1948/article/pdf/labor-force-employment-and-unemployment-1929-39-estimating-methods.pdf</t>
    </r>
    <r>
      <rPr/>
      <t xml:space="preserve"> Link 2: </t>
    </r>
    <r>
      <rPr>
        <color rgb="FF1155CC"/>
        <u/>
      </rPr>
      <t>https://fred.stlouisfed.org/series/CE16OV</t>
    </r>
  </si>
  <si>
    <t>Real GDP (Billions of Chained 2017 Dollars)</t>
  </si>
  <si>
    <t>% Change in GDP</t>
  </si>
  <si>
    <t>Real Personal Consumption (Billions of Chained 2017 Dollars)</t>
  </si>
  <si>
    <t>% Change in Consumption</t>
  </si>
  <si>
    <t>Real GDP per Capita in USD*</t>
  </si>
  <si>
    <t>% Change in Real GDP per capita</t>
  </si>
  <si>
    <t>Unemployment rate (Annual) in %</t>
  </si>
  <si>
    <t xml:space="preserve">% Change in Unemploymet </t>
  </si>
  <si>
    <t xml:space="preserve">Gini Index </t>
  </si>
  <si>
    <t>Change in Gini index</t>
  </si>
  <si>
    <t>Employment Level in Thousands of Persons.*</t>
  </si>
  <si>
    <t>% Change in Employment Level</t>
  </si>
  <si>
    <t>Government consumption expenditures and gross investment (Billions of Chained 2017 Dollars)</t>
  </si>
  <si>
    <t>% Change Government consumption, expenditures and gross investment</t>
  </si>
  <si>
    <r>
      <rPr>
        <rFont val="Times New Roman"/>
        <b/>
        <color rgb="FF000000"/>
        <sz val="31.0"/>
      </rPr>
      <t>Y</t>
    </r>
    <r>
      <rPr>
        <rFont val="Times New Roman"/>
        <b/>
        <color rgb="FF000000"/>
        <sz val="25.0"/>
      </rPr>
      <t>t</t>
    </r>
  </si>
  <si>
    <r>
      <rPr>
        <rFont val="Times New Roman"/>
        <color theme="1"/>
        <sz val="10.0"/>
      </rPr>
      <t xml:space="preserve">% Change in </t>
    </r>
    <r>
      <rPr>
        <rFont val="Times New Roman"/>
        <b/>
        <color theme="1"/>
        <sz val="10.0"/>
      </rPr>
      <t>Yt</t>
    </r>
  </si>
  <si>
    <r>
      <rPr>
        <rFont val="Times New Roman"/>
        <b/>
        <color rgb="FF000000"/>
        <sz val="31.0"/>
      </rPr>
      <t>C</t>
    </r>
    <r>
      <rPr>
        <rFont val="Times New Roman"/>
        <b/>
        <color rgb="FF000000"/>
        <sz val="25.0"/>
      </rPr>
      <t>t</t>
    </r>
  </si>
  <si>
    <r>
      <rPr>
        <rFont val="Times New Roman"/>
        <color theme="1"/>
        <sz val="10.0"/>
      </rPr>
      <t xml:space="preserve">% Change in </t>
    </r>
    <r>
      <rPr>
        <rFont val="Times New Roman"/>
        <b/>
        <color theme="1"/>
        <sz val="10.0"/>
      </rPr>
      <t>Ct</t>
    </r>
  </si>
  <si>
    <r>
      <rPr>
        <rFont val="Times New Roman"/>
        <b/>
        <color rgb="FF000000"/>
        <sz val="31.0"/>
      </rPr>
      <t>Y</t>
    </r>
    <r>
      <rPr>
        <rFont val="Times New Roman"/>
        <b/>
        <color rgb="FF000000"/>
        <sz val="25.0"/>
      </rPr>
      <t>t</t>
    </r>
    <r>
      <rPr>
        <rFont val="Times New Roman"/>
        <b/>
        <color rgb="FF000000"/>
        <sz val="31.0"/>
      </rPr>
      <t xml:space="preserve"> </t>
    </r>
    <r>
      <rPr>
        <rFont val="Times New Roman"/>
        <b/>
        <color rgb="FF000000"/>
        <sz val="10.0"/>
      </rPr>
      <t>per capita</t>
    </r>
  </si>
  <si>
    <r>
      <rPr>
        <rFont val="Times New Roman"/>
        <b/>
        <color rgb="FF000000"/>
        <sz val="31.0"/>
      </rPr>
      <t>U</t>
    </r>
    <r>
      <rPr>
        <rFont val="Times New Roman"/>
        <b/>
        <color rgb="FF000000"/>
        <sz val="25.0"/>
      </rPr>
      <t>t</t>
    </r>
  </si>
  <si>
    <r>
      <rPr>
        <rFont val="Times New Roman"/>
        <color theme="1"/>
        <sz val="10.0"/>
      </rPr>
      <t xml:space="preserve">% Change in </t>
    </r>
    <r>
      <rPr>
        <rFont val="Times New Roman"/>
        <b/>
        <color theme="1"/>
        <sz val="10.0"/>
      </rPr>
      <t>Ut</t>
    </r>
  </si>
  <si>
    <r>
      <rPr>
        <rFont val="Times New Roman"/>
        <b/>
        <color rgb="FF000000"/>
        <sz val="31.0"/>
      </rPr>
      <t>Gini</t>
    </r>
    <r>
      <rPr>
        <rFont val="Times New Roman"/>
        <b/>
        <color rgb="FF000000"/>
        <sz val="25.0"/>
      </rPr>
      <t>t</t>
    </r>
  </si>
  <si>
    <r>
      <rPr>
        <rFont val="Times New Roman"/>
        <color theme="1"/>
        <sz val="10.0"/>
      </rPr>
      <t xml:space="preserve">Change in </t>
    </r>
    <r>
      <rPr>
        <rFont val="Times New Roman"/>
        <b/>
        <color theme="1"/>
        <sz val="10.0"/>
      </rPr>
      <t>Ginit</t>
    </r>
  </si>
  <si>
    <t>Lt</t>
  </si>
  <si>
    <r>
      <rPr>
        <rFont val="Times New Roman"/>
        <color theme="1"/>
        <sz val="10.0"/>
      </rPr>
      <t xml:space="preserve">%Change in </t>
    </r>
    <r>
      <rPr>
        <rFont val="Times New Roman"/>
        <b/>
        <color theme="1"/>
        <sz val="10.0"/>
      </rPr>
      <t>Lt</t>
    </r>
  </si>
  <si>
    <t>GCE</t>
  </si>
  <si>
    <r>
      <rPr>
        <rFont val="Times New Roman"/>
        <color rgb="FF000000"/>
        <sz val="10.0"/>
      </rPr>
      <t xml:space="preserve">% Change in </t>
    </r>
    <r>
      <rPr>
        <rFont val="Times New Roman"/>
        <b/>
        <color rgb="FF000000"/>
        <sz val="10.0"/>
      </rPr>
      <t>GCE</t>
    </r>
  </si>
  <si>
    <t>DATE</t>
  </si>
  <si>
    <t>VALUE</t>
  </si>
  <si>
    <t>N/A</t>
  </si>
  <si>
    <t>Table 1.1.6. Real Gross Domestic Product, Chained Dollars</t>
  </si>
  <si>
    <t>[Billions of chained (2017) dollars]</t>
  </si>
  <si>
    <r>
      <rPr>
        <rFont val="Times New Roman"/>
        <color rgb="FF000000"/>
        <sz val="10.0"/>
      </rPr>
      <t xml:space="preserve">Bureau of Economic Analysis </t>
    </r>
    <r>
      <rPr>
        <rFont val="Times New Roman"/>
        <color rgb="FF000000"/>
        <sz val="10.0"/>
        <u/>
      </rPr>
      <t>https://apps.bea.gov/iTable/?reqid=19&amp;step=3&amp;isuri=1&amp;categories=survey&amp;nipa_table_list=6&amp;Series=A&amp;select_all_years=1&amp;_gl=1*14lcrnf*_ga*MTU4MDQ3NTcxOC4xNzc0MzE4Mjk2*_ga_J4698JNNFT*czE3NzQzMTgyOTYkbzEkZzEkdDE3NzQzMTg3MzAkajYwJGwwJGgw</t>
    </r>
  </si>
  <si>
    <t>Last Revised on: March 13, 2026 - Next Release Date April 9, 2026</t>
  </si>
  <si>
    <t>Line</t>
  </si>
  <si>
    <t>Gross domestic product</t>
  </si>
  <si>
    <t>Personal consumption expenditures</t>
  </si>
  <si>
    <t>Goods</t>
  </si>
  <si>
    <t>---</t>
  </si>
  <si>
    <t>Durable goods</t>
  </si>
  <si>
    <t>Nondurable goods</t>
  </si>
  <si>
    <t>Services</t>
  </si>
  <si>
    <t>Gross private domestic investment</t>
  </si>
  <si>
    <t>Fixed investment</t>
  </si>
  <si>
    <t>Nonresidential</t>
  </si>
  <si>
    <t>Structures</t>
  </si>
  <si>
    <t>Equipment</t>
  </si>
  <si>
    <t>Intellectual property products</t>
  </si>
  <si>
    <t>Residential</t>
  </si>
  <si>
    <t>Change in private inventories</t>
  </si>
  <si>
    <t>Net exports of goods and services</t>
  </si>
  <si>
    <t>Exports</t>
  </si>
  <si>
    <t>Imports</t>
  </si>
  <si>
    <t>Government consumption expenditures and gross investment</t>
  </si>
  <si>
    <t>Federal</t>
  </si>
  <si>
    <t>National defense</t>
  </si>
  <si>
    <t>Nondefense</t>
  </si>
  <si>
    <t>State and local</t>
  </si>
  <si>
    <t>Residual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</si>
</sst>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m d, yyyy"/>
    <numFmt numFmtId="166" formatCode="+0.00%;-0.00%;0.00%"/>
    <numFmt numFmtId="167" formatCode="m/d/yyyy"/>
    <numFmt numFmtId="168" formatCode="yyyy-mm-dd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0.0"/>
      <color rgb="FF0000FF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b/>
      <sz val="31.0"/>
      <color rgb="FF000000"/>
      <name val="Times New Roman"/>
    </font>
    <font>
      <b/>
      <sz val="23.0"/>
      <color rgb="FF000000"/>
      <name val="Times New Roman"/>
    </font>
    <font>
      <b/>
      <sz val="10.0"/>
      <color rgb="FF000000"/>
      <name val="Times New Roman"/>
    </font>
    <font>
      <color theme="1"/>
      <name val="Times New Roman"/>
    </font>
    <font>
      <sz val="11.0"/>
      <color rgb="FF000000"/>
      <name val="Calibri"/>
    </font>
    <font>
      <b/>
      <i/>
      <sz val="10.0"/>
      <color rgb="FF000000"/>
      <name val="Times New Roman"/>
    </font>
    <font>
      <i/>
      <sz val="10.0"/>
      <color rgb="FF000000"/>
      <name val="Times New Roman"/>
    </font>
    <font>
      <u/>
      <sz val="10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4D4D4"/>
        <bgColor rgb="FFD4D4D4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0" fontId="5" numFmtId="0" xfId="0" applyFont="1"/>
    <xf borderId="0" fillId="0" fontId="8" numFmtId="0" xfId="0" applyAlignment="1" applyFont="1">
      <alignment horizontal="center" readingOrder="0" shrinkToFit="0" vertical="center" wrapText="1"/>
    </xf>
    <xf borderId="0" fillId="0" fontId="8" numFmtId="4" xfId="0" applyAlignment="1" applyFont="1" applyNumberFormat="1">
      <alignment horizontal="center" readingOrder="0" shrinkToFit="0" vertical="center" wrapText="1"/>
    </xf>
    <xf borderId="0" fillId="2" fontId="8" numFmtId="0" xfId="0" applyAlignment="1" applyFont="1">
      <alignment readingOrder="0" vertical="top"/>
    </xf>
    <xf borderId="0" fillId="2" fontId="5" numFmtId="0" xfId="0" applyAlignment="1" applyFont="1">
      <alignment readingOrder="0" shrinkToFit="0" wrapText="1"/>
    </xf>
    <xf borderId="0" fillId="2" fontId="8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 vertical="bottom"/>
    </xf>
    <xf borderId="0" fillId="0" fontId="5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0" fontId="9" numFmtId="10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 vertical="top"/>
    </xf>
    <xf borderId="0" fillId="2" fontId="5" numFmtId="0" xfId="0" applyAlignment="1" applyFont="1">
      <alignment horizontal="center" readingOrder="0" vertical="top"/>
    </xf>
    <xf borderId="0" fillId="2" fontId="5" numFmtId="165" xfId="0" applyAlignment="1" applyFont="1" applyNumberFormat="1">
      <alignment horizontal="right" readingOrder="0"/>
    </xf>
    <xf borderId="0" fillId="2" fontId="5" numFmtId="0" xfId="0" applyAlignment="1" applyFont="1">
      <alignment horizontal="right" readingOrder="0"/>
    </xf>
    <xf borderId="0" fillId="0" fontId="5" numFmtId="166" xfId="0" applyAlignment="1" applyFont="1" applyNumberFormat="1">
      <alignment horizontal="center" readingOrder="0" shrinkToFit="0" vertical="bottom" wrapText="0"/>
    </xf>
    <xf borderId="0" fillId="0" fontId="5" numFmtId="166" xfId="0" applyAlignment="1" applyFont="1" applyNumberFormat="1">
      <alignment horizontal="center" readingOrder="0" vertical="top"/>
    </xf>
    <xf borderId="0" fillId="0" fontId="9" numFmtId="166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2" fontId="5" numFmtId="166" xfId="0" applyAlignment="1" applyFont="1" applyNumberFormat="1">
      <alignment readingOrder="0" vertical="top"/>
    </xf>
    <xf borderId="0" fillId="2" fontId="5" numFmtId="167" xfId="0" applyAlignment="1" applyFont="1" applyNumberFormat="1">
      <alignment readingOrder="0"/>
    </xf>
    <xf borderId="0" fillId="3" fontId="5" numFmtId="164" xfId="0" applyAlignment="1" applyFill="1" applyFont="1" applyNumberFormat="1">
      <alignment horizontal="center" readingOrder="0" vertical="bottom"/>
    </xf>
    <xf borderId="0" fillId="3" fontId="5" numFmtId="4" xfId="0" applyAlignment="1" applyFont="1" applyNumberFormat="1">
      <alignment horizontal="center" readingOrder="0" vertical="bottom"/>
    </xf>
    <xf borderId="0" fillId="3" fontId="5" numFmtId="4" xfId="0" applyAlignment="1" applyFont="1" applyNumberFormat="1">
      <alignment horizontal="center" readingOrder="0" shrinkToFit="0" vertical="bottom" wrapText="0"/>
    </xf>
    <xf borderId="0" fillId="4" fontId="5" numFmtId="4" xfId="0" applyAlignment="1" applyFill="1" applyFont="1" applyNumberFormat="1">
      <alignment horizontal="center" readingOrder="0" shrinkToFit="0" vertical="bottom" wrapText="0"/>
    </xf>
    <xf borderId="0" fillId="4" fontId="9" numFmtId="10" xfId="0" applyAlignment="1" applyFont="1" applyNumberFormat="1">
      <alignment horizontal="center" readingOrder="0"/>
    </xf>
    <xf borderId="0" fillId="4" fontId="5" numFmtId="0" xfId="0" applyAlignment="1" applyFont="1">
      <alignment horizontal="center" readingOrder="0"/>
    </xf>
    <xf borderId="0" fillId="4" fontId="5" numFmtId="4" xfId="0" applyAlignment="1" applyFont="1" applyNumberFormat="1">
      <alignment horizontal="center" readingOrder="0" vertical="top"/>
    </xf>
    <xf borderId="0" fillId="4" fontId="5" numFmtId="4" xfId="0" applyAlignment="1" applyFont="1" applyNumberFormat="1">
      <alignment horizontal="center" readingOrder="0" vertical="bottom"/>
    </xf>
    <xf borderId="0" fillId="5" fontId="5" numFmtId="164" xfId="0" applyAlignment="1" applyFill="1" applyFont="1" applyNumberFormat="1">
      <alignment horizontal="center" readingOrder="0" vertical="bottom"/>
    </xf>
    <xf borderId="0" fillId="5" fontId="5" numFmtId="4" xfId="0" applyAlignment="1" applyFont="1" applyNumberFormat="1">
      <alignment horizontal="center" readingOrder="0" vertical="bottom"/>
    </xf>
    <xf borderId="0" fillId="5" fontId="5" numFmtId="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vertical="top"/>
    </xf>
    <xf borderId="0" fillId="4" fontId="5" numFmtId="0" xfId="0" applyAlignment="1" applyFont="1">
      <alignment horizontal="center" readingOrder="0" vertical="top"/>
    </xf>
    <xf borderId="0" fillId="5" fontId="5" numFmtId="4" xfId="0" applyAlignment="1" applyFont="1" applyNumberFormat="1">
      <alignment horizontal="center" readingOrder="0" vertical="top"/>
    </xf>
    <xf borderId="0" fillId="5" fontId="5" numFmtId="0" xfId="0" applyAlignment="1" applyFont="1">
      <alignment horizontal="center" readingOrder="0" vertical="top"/>
    </xf>
    <xf borderId="0" fillId="5" fontId="9" numFmtId="10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5" numFmtId="167" xfId="0" applyAlignment="1" applyFont="1" applyNumberForma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shrinkToFit="0" wrapText="0"/>
    </xf>
    <xf borderId="0" fillId="0" fontId="8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8" numFmtId="0" xfId="0" applyAlignment="1" applyFont="1">
      <alignment horizontal="center" readingOrder="0" shrinkToFit="0" vertical="top" wrapText="0"/>
    </xf>
    <xf borderId="0" fillId="0" fontId="10" numFmtId="168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5" numFmtId="168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6" fontId="8" numFmtId="0" xfId="0" applyAlignment="1" applyFill="1" applyFont="1">
      <alignment horizontal="center" readingOrder="0" shrinkToFit="0" wrapText="0"/>
    </xf>
    <xf borderId="0" fillId="6" fontId="8" numFmtId="0" xfId="0" applyAlignment="1" applyFont="1">
      <alignment horizontal="center" shrinkToFit="0" wrapText="0"/>
    </xf>
  </cellXfs>
  <cellStyles count="1">
    <cellStyle xfId="0" name="Normal" builtinId="0"/>
  </cellStyles>
  <dxfs count="3">
    <dxf>
      <font/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opub/mlr/1948/article/pdf/labor-force-employment-and-unemployment-1929-39-estimating-methods.pdf" TargetMode="External"/><Relationship Id="rId2" Type="http://schemas.openxmlformats.org/officeDocument/2006/relationships/hyperlink" Target="https://fred.stlouisfed.org/data/GDPCA" TargetMode="External"/><Relationship Id="rId3" Type="http://schemas.openxmlformats.org/officeDocument/2006/relationships/hyperlink" Target="https://fred.stlouisfed.org/series/PCECCA" TargetMode="External"/><Relationship Id="rId4" Type="http://schemas.openxmlformats.org/officeDocument/2006/relationships/hyperlink" Target="https://fred.stlouisfed.org/graph/?g=jS05" TargetMode="External"/><Relationship Id="rId5" Type="http://schemas.openxmlformats.org/officeDocument/2006/relationships/hyperlink" Target="https://fred.stlouisfed.org/series/SIPOVGINIUSA" TargetMode="External"/><Relationship Id="rId6" Type="http://schemas.openxmlformats.org/officeDocument/2006/relationships/hyperlink" Target="https://apps.bea.gov/iTable/?reqid=19&amp;step=3&amp;isuri=1&amp;categories=survey&amp;nipa_table_list=6&amp;Series=A&amp;select_all_years=1&amp;_gl=1*14lcrnf*_ga*MTU4MDQ3NTcxOC4xNzc0MzE4Mjk2*_ga_J4698JNNFT*czE3NzQzMTgyOTYkbzEkZzEkdDE3NzQzMTg3MzAkajYwJGwwJGgw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s.bea.gov/iTable/?reqid=19&amp;step=3&amp;isuri=1&amp;categories=survey&amp;nipa_table_list=6&amp;Series=A&amp;select_all_years=1&amp;_gl=1*14lcrnf*_ga*MTU4MDQ3NTcxOC4xNzc0MzE4Mjk2*_ga_J4698JNNFT*czE3NzQzMTgyOTYkbzEkZzEkdDE3NzQzMTg3MzAkajYwJGwwJGgw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1" t="s">
        <v>0</v>
      </c>
      <c r="L1" s="2" t="s">
        <v>1</v>
      </c>
    </row>
    <row r="2">
      <c r="A2" s="3"/>
      <c r="B2" s="4" t="s">
        <v>2</v>
      </c>
      <c r="C2" s="5" t="s">
        <v>3</v>
      </c>
      <c r="D2" s="4" t="s">
        <v>4</v>
      </c>
      <c r="E2" s="6" t="s">
        <v>5</v>
      </c>
      <c r="F2" s="7" t="s">
        <v>6</v>
      </c>
      <c r="G2" s="5" t="s">
        <v>7</v>
      </c>
      <c r="H2" s="4" t="s">
        <v>8</v>
      </c>
      <c r="I2" s="5" t="s">
        <v>9</v>
      </c>
      <c r="J2" s="4" t="s">
        <v>10</v>
      </c>
      <c r="K2" s="5" t="s">
        <v>11</v>
      </c>
      <c r="L2" s="8" t="s">
        <v>12</v>
      </c>
      <c r="M2" s="8" t="s">
        <v>13</v>
      </c>
      <c r="N2" s="4" t="s">
        <v>14</v>
      </c>
      <c r="O2" s="8" t="s">
        <v>15</v>
      </c>
      <c r="R2" s="9"/>
    </row>
    <row r="3">
      <c r="A3" s="5"/>
      <c r="B3" s="10" t="s">
        <v>16</v>
      </c>
      <c r="C3" s="5" t="s">
        <v>17</v>
      </c>
      <c r="D3" s="10" t="s">
        <v>18</v>
      </c>
      <c r="E3" s="6" t="s">
        <v>19</v>
      </c>
      <c r="F3" s="10" t="s">
        <v>20</v>
      </c>
      <c r="G3" s="5" t="s">
        <v>7</v>
      </c>
      <c r="H3" s="10" t="s">
        <v>21</v>
      </c>
      <c r="I3" s="5" t="s">
        <v>22</v>
      </c>
      <c r="J3" s="10" t="s">
        <v>23</v>
      </c>
      <c r="K3" s="5" t="s">
        <v>24</v>
      </c>
      <c r="L3" s="10" t="s">
        <v>25</v>
      </c>
      <c r="M3" s="5" t="s">
        <v>26</v>
      </c>
      <c r="N3" s="11" t="s">
        <v>27</v>
      </c>
      <c r="O3" s="8" t="s">
        <v>28</v>
      </c>
      <c r="P3" s="12"/>
      <c r="Q3" s="13"/>
      <c r="R3" s="14"/>
      <c r="S3" s="14"/>
      <c r="T3" s="14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</row>
    <row r="4">
      <c r="A4" s="16" t="s">
        <v>29</v>
      </c>
      <c r="B4" s="16" t="s">
        <v>30</v>
      </c>
      <c r="C4" s="16"/>
      <c r="D4" s="16" t="s">
        <v>30</v>
      </c>
      <c r="E4" s="17"/>
      <c r="F4" s="17" t="s">
        <v>30</v>
      </c>
      <c r="G4" s="16"/>
      <c r="H4" s="16" t="s">
        <v>30</v>
      </c>
      <c r="I4" s="16"/>
      <c r="J4" s="16" t="s">
        <v>30</v>
      </c>
      <c r="K4" s="15"/>
      <c r="L4" s="18"/>
      <c r="M4" s="18"/>
      <c r="N4" s="19"/>
      <c r="O4" s="14"/>
      <c r="P4" s="20"/>
      <c r="Q4" s="20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</row>
    <row r="5">
      <c r="A5" s="21">
        <v>10594.0</v>
      </c>
      <c r="B5" s="22">
        <v>1191.124</v>
      </c>
      <c r="C5" s="23" t="s">
        <v>31</v>
      </c>
      <c r="D5" s="24">
        <v>880.634</v>
      </c>
      <c r="E5" s="23" t="s">
        <v>31</v>
      </c>
      <c r="F5" s="24">
        <v>9781.99</v>
      </c>
      <c r="G5" s="23" t="s">
        <v>31</v>
      </c>
      <c r="H5" s="25">
        <v>0.0138</v>
      </c>
      <c r="I5" s="23" t="s">
        <v>31</v>
      </c>
      <c r="J5" s="23" t="s">
        <v>31</v>
      </c>
      <c r="K5" s="23" t="s">
        <v>31</v>
      </c>
      <c r="L5" s="26">
        <v>47630.0</v>
      </c>
      <c r="M5" s="27" t="s">
        <v>31</v>
      </c>
      <c r="N5" s="22">
        <v>193.0</v>
      </c>
      <c r="O5" s="12" t="s">
        <v>31</v>
      </c>
      <c r="P5" s="28"/>
      <c r="Q5" s="29"/>
      <c r="R5" s="14"/>
      <c r="S5" s="14"/>
      <c r="T5" s="14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</row>
    <row r="6">
      <c r="A6" s="21">
        <v>10959.0</v>
      </c>
      <c r="B6" s="22">
        <v>1089.785</v>
      </c>
      <c r="C6" s="30">
        <f t="shared" ref="C6:C101" si="1">(B6-B5)/B5</f>
        <v>-0.0850784637</v>
      </c>
      <c r="D6" s="24">
        <v>833.46</v>
      </c>
      <c r="E6" s="31">
        <f t="shared" ref="E6:E101" si="2">(D6-D5)/D5</f>
        <v>-0.05356822471</v>
      </c>
      <c r="F6" s="24">
        <v>8854.52</v>
      </c>
      <c r="G6" s="32">
        <f t="shared" ref="G6:G101" si="3">(F6-F5)/F5</f>
        <v>-0.09481404091</v>
      </c>
      <c r="H6" s="25">
        <v>0.059</v>
      </c>
      <c r="I6" s="33">
        <f t="shared" ref="I6:I101" si="4">H6-H5</f>
        <v>0.0452</v>
      </c>
      <c r="J6" s="23" t="s">
        <v>31</v>
      </c>
      <c r="K6" s="23" t="s">
        <v>31</v>
      </c>
      <c r="L6" s="26">
        <v>45480.0</v>
      </c>
      <c r="M6" s="34">
        <f t="shared" ref="M6:M101" si="5">(L6-L5)/L5</f>
        <v>-0.04513961789</v>
      </c>
      <c r="N6" s="22">
        <v>212.5</v>
      </c>
      <c r="O6" s="34">
        <f t="shared" ref="O6:O101" si="6">(N6-N5)/N5</f>
        <v>0.1010362694</v>
      </c>
      <c r="P6" s="28"/>
      <c r="Q6" s="29"/>
      <c r="R6" s="14"/>
      <c r="S6" s="14"/>
      <c r="T6" s="14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</row>
    <row r="7">
      <c r="A7" s="21">
        <v>11324.0</v>
      </c>
      <c r="B7" s="22">
        <v>1019.977</v>
      </c>
      <c r="C7" s="30">
        <f t="shared" si="1"/>
        <v>-0.06405667173</v>
      </c>
      <c r="D7" s="24">
        <v>807.428</v>
      </c>
      <c r="E7" s="31">
        <f t="shared" si="2"/>
        <v>-0.03123365248</v>
      </c>
      <c r="F7" s="24">
        <v>8222.99</v>
      </c>
      <c r="G7" s="32">
        <f t="shared" si="3"/>
        <v>-0.07132289497</v>
      </c>
      <c r="H7" s="25">
        <v>0.142</v>
      </c>
      <c r="I7" s="33">
        <f t="shared" si="4"/>
        <v>0.083</v>
      </c>
      <c r="J7" s="23" t="s">
        <v>31</v>
      </c>
      <c r="K7" s="23" t="s">
        <v>31</v>
      </c>
      <c r="L7" s="26">
        <v>42400.0</v>
      </c>
      <c r="M7" s="34">
        <f t="shared" si="5"/>
        <v>-0.06772207564</v>
      </c>
      <c r="N7" s="22">
        <v>221.0</v>
      </c>
      <c r="O7" s="34">
        <f t="shared" si="6"/>
        <v>0.04</v>
      </c>
      <c r="P7" s="28"/>
      <c r="Q7" s="29"/>
      <c r="R7" s="14"/>
      <c r="S7" s="14"/>
      <c r="T7" s="14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</row>
    <row r="8">
      <c r="A8" s="21">
        <v>11689.0</v>
      </c>
      <c r="B8" s="22">
        <v>888.414</v>
      </c>
      <c r="C8" s="30">
        <f t="shared" si="1"/>
        <v>-0.1289862418</v>
      </c>
      <c r="D8" s="24">
        <v>735.141</v>
      </c>
      <c r="E8" s="31">
        <f t="shared" si="2"/>
        <v>-0.08952748728</v>
      </c>
      <c r="F8" s="24">
        <v>7116.39</v>
      </c>
      <c r="G8" s="32">
        <f t="shared" si="3"/>
        <v>-0.1345739202</v>
      </c>
      <c r="H8" s="25">
        <v>0.227199999999999</v>
      </c>
      <c r="I8" s="33">
        <f t="shared" si="4"/>
        <v>0.0852</v>
      </c>
      <c r="J8" s="23" t="s">
        <v>31</v>
      </c>
      <c r="K8" s="23" t="s">
        <v>31</v>
      </c>
      <c r="L8" s="26">
        <v>38940.0</v>
      </c>
      <c r="M8" s="34">
        <f t="shared" si="5"/>
        <v>-0.08160377358</v>
      </c>
      <c r="N8" s="22">
        <v>214.0</v>
      </c>
      <c r="O8" s="34">
        <f t="shared" si="6"/>
        <v>-0.03167420814</v>
      </c>
      <c r="P8" s="28"/>
      <c r="Q8" s="29"/>
      <c r="R8" s="14"/>
      <c r="S8" s="14"/>
      <c r="T8" s="14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</row>
    <row r="9">
      <c r="A9" s="21">
        <v>12055.0</v>
      </c>
      <c r="B9" s="22">
        <v>877.431</v>
      </c>
      <c r="C9" s="30">
        <f t="shared" si="1"/>
        <v>-0.01236247965</v>
      </c>
      <c r="D9" s="24">
        <v>718.926</v>
      </c>
      <c r="E9" s="31">
        <f t="shared" si="2"/>
        <v>-0.02205699315</v>
      </c>
      <c r="F9" s="24">
        <v>6987.1</v>
      </c>
      <c r="G9" s="32">
        <f t="shared" si="3"/>
        <v>-0.01816791941</v>
      </c>
      <c r="H9" s="25">
        <v>0.233799999999999</v>
      </c>
      <c r="I9" s="33">
        <f t="shared" si="4"/>
        <v>0.0066</v>
      </c>
      <c r="J9" s="23" t="s">
        <v>31</v>
      </c>
      <c r="K9" s="23" t="s">
        <v>31</v>
      </c>
      <c r="L9" s="26">
        <v>38760.0</v>
      </c>
      <c r="M9" s="34">
        <f t="shared" si="5"/>
        <v>-0.004622496148</v>
      </c>
      <c r="N9" s="22">
        <v>207.0</v>
      </c>
      <c r="O9" s="34">
        <f t="shared" si="6"/>
        <v>-0.03271028037</v>
      </c>
      <c r="P9" s="28"/>
      <c r="Q9" s="29"/>
      <c r="R9" s="14"/>
      <c r="S9" s="14"/>
      <c r="T9" s="14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</row>
    <row r="10">
      <c r="A10" s="21">
        <v>12420.0</v>
      </c>
      <c r="B10" s="22">
        <v>972.263</v>
      </c>
      <c r="C10" s="30">
        <f t="shared" si="1"/>
        <v>0.1080791538</v>
      </c>
      <c r="D10" s="24">
        <v>770.287</v>
      </c>
      <c r="E10" s="31">
        <f t="shared" si="2"/>
        <v>0.07144128881</v>
      </c>
      <c r="F10" s="24">
        <v>7693.55</v>
      </c>
      <c r="G10" s="32">
        <f t="shared" si="3"/>
        <v>0.1011077557</v>
      </c>
      <c r="H10" s="25">
        <v>0.1906</v>
      </c>
      <c r="I10" s="33">
        <f t="shared" si="4"/>
        <v>-0.0432</v>
      </c>
      <c r="J10" s="23" t="s">
        <v>31</v>
      </c>
      <c r="K10" s="23" t="s">
        <v>31</v>
      </c>
      <c r="L10" s="26">
        <v>40890.0</v>
      </c>
      <c r="M10" s="34">
        <f t="shared" si="5"/>
        <v>0.05495356037</v>
      </c>
      <c r="N10" s="22">
        <v>233.0</v>
      </c>
      <c r="O10" s="34">
        <f t="shared" si="6"/>
        <v>0.1256038647</v>
      </c>
      <c r="P10" s="28"/>
      <c r="Q10" s="29"/>
      <c r="R10" s="14"/>
      <c r="S10" s="35"/>
      <c r="T10" s="12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</row>
    <row r="11">
      <c r="A11" s="21">
        <v>12785.0</v>
      </c>
      <c r="B11" s="22">
        <v>1058.836</v>
      </c>
      <c r="C11" s="30">
        <f t="shared" si="1"/>
        <v>0.08904277958</v>
      </c>
      <c r="D11" s="24">
        <v>817.04</v>
      </c>
      <c r="E11" s="31">
        <f t="shared" si="2"/>
        <v>0.06069555893</v>
      </c>
      <c r="F11" s="24">
        <v>8320.9</v>
      </c>
      <c r="G11" s="32">
        <f t="shared" si="3"/>
        <v>0.08154233091</v>
      </c>
      <c r="H11" s="25">
        <v>0.175799999999999</v>
      </c>
      <c r="I11" s="33">
        <f t="shared" si="4"/>
        <v>-0.0148</v>
      </c>
      <c r="J11" s="23" t="s">
        <v>31</v>
      </c>
      <c r="K11" s="23" t="s">
        <v>31</v>
      </c>
      <c r="L11" s="26">
        <v>42280.0</v>
      </c>
      <c r="M11" s="34">
        <f t="shared" si="5"/>
        <v>0.03399364148</v>
      </c>
      <c r="N11" s="22">
        <v>240.2</v>
      </c>
      <c r="O11" s="34">
        <f t="shared" si="6"/>
        <v>0.03090128755</v>
      </c>
      <c r="P11" s="28"/>
      <c r="Q11" s="29"/>
      <c r="R11" s="14"/>
      <c r="S11" s="35"/>
      <c r="T11" s="12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</row>
    <row r="12">
      <c r="A12" s="21">
        <v>13150.0</v>
      </c>
      <c r="B12" s="22">
        <v>1195.251</v>
      </c>
      <c r="C12" s="30">
        <f t="shared" si="1"/>
        <v>0.1288348715</v>
      </c>
      <c r="D12" s="24">
        <v>900.159</v>
      </c>
      <c r="E12" s="31">
        <f t="shared" si="2"/>
        <v>0.1017318614</v>
      </c>
      <c r="F12" s="24">
        <v>9334.02</v>
      </c>
      <c r="G12" s="32">
        <f t="shared" si="3"/>
        <v>0.12175606</v>
      </c>
      <c r="H12" s="25">
        <v>0.1424</v>
      </c>
      <c r="I12" s="33">
        <f t="shared" si="4"/>
        <v>-0.0334</v>
      </c>
      <c r="J12" s="23" t="s">
        <v>31</v>
      </c>
      <c r="K12" s="23" t="s">
        <v>31</v>
      </c>
      <c r="L12" s="26">
        <v>44410.0</v>
      </c>
      <c r="M12" s="34">
        <f t="shared" si="5"/>
        <v>0.05037842952</v>
      </c>
      <c r="N12" s="22">
        <v>278.0</v>
      </c>
      <c r="O12" s="34">
        <f t="shared" si="6"/>
        <v>0.1573688593</v>
      </c>
      <c r="P12" s="28"/>
      <c r="Q12" s="29"/>
      <c r="R12" s="14"/>
      <c r="S12" s="35"/>
      <c r="T12" s="12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</row>
    <row r="13">
      <c r="A13" s="21">
        <v>13516.0</v>
      </c>
      <c r="B13" s="22">
        <v>1256.503</v>
      </c>
      <c r="C13" s="30">
        <f t="shared" si="1"/>
        <v>0.05124613993</v>
      </c>
      <c r="D13" s="24">
        <v>933.45</v>
      </c>
      <c r="E13" s="31">
        <f t="shared" si="2"/>
        <v>0.03698346625</v>
      </c>
      <c r="F13" s="24">
        <v>9753.58</v>
      </c>
      <c r="G13" s="32">
        <f t="shared" si="3"/>
        <v>0.04494955014</v>
      </c>
      <c r="H13" s="25">
        <v>0.1216</v>
      </c>
      <c r="I13" s="33">
        <f t="shared" si="4"/>
        <v>-0.0208</v>
      </c>
      <c r="J13" s="23" t="s">
        <v>31</v>
      </c>
      <c r="K13" s="23" t="s">
        <v>31</v>
      </c>
      <c r="L13" s="26">
        <v>46300.0</v>
      </c>
      <c r="M13" s="34">
        <f t="shared" si="5"/>
        <v>0.04255798244</v>
      </c>
      <c r="N13" s="22">
        <v>267.1</v>
      </c>
      <c r="O13" s="34">
        <f t="shared" si="6"/>
        <v>-0.03920863309</v>
      </c>
      <c r="P13" s="28"/>
      <c r="Q13" s="29"/>
      <c r="R13" s="14"/>
      <c r="S13" s="35"/>
      <c r="T13" s="12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</row>
    <row r="14">
      <c r="A14" s="21">
        <v>13881.0</v>
      </c>
      <c r="B14" s="22">
        <v>1214.869</v>
      </c>
      <c r="C14" s="30">
        <f t="shared" si="1"/>
        <v>-0.03313481942</v>
      </c>
      <c r="D14" s="24">
        <v>918.532</v>
      </c>
      <c r="E14" s="31">
        <f t="shared" si="2"/>
        <v>-0.01598157373</v>
      </c>
      <c r="F14" s="24">
        <v>9357.75</v>
      </c>
      <c r="G14" s="32">
        <f t="shared" si="3"/>
        <v>-0.04058304746</v>
      </c>
      <c r="H14" s="25">
        <v>0.1842</v>
      </c>
      <c r="I14" s="33">
        <f t="shared" si="4"/>
        <v>0.0626</v>
      </c>
      <c r="J14" s="23" t="s">
        <v>31</v>
      </c>
      <c r="K14" s="23" t="s">
        <v>31</v>
      </c>
      <c r="L14" s="26">
        <v>44220.0</v>
      </c>
      <c r="M14" s="34">
        <f t="shared" si="5"/>
        <v>-0.04492440605</v>
      </c>
      <c r="N14" s="22">
        <v>287.4</v>
      </c>
      <c r="O14" s="34">
        <f t="shared" si="6"/>
        <v>0.07600149757</v>
      </c>
      <c r="P14" s="28"/>
      <c r="Q14" s="29"/>
      <c r="R14" s="14"/>
      <c r="S14" s="35"/>
      <c r="T14" s="12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</row>
    <row r="15">
      <c r="A15" s="21">
        <v>14246.0</v>
      </c>
      <c r="B15" s="22">
        <v>1312.365</v>
      </c>
      <c r="C15" s="30">
        <f t="shared" si="1"/>
        <v>0.08025227411</v>
      </c>
      <c r="D15" s="24">
        <v>969.909</v>
      </c>
      <c r="E15" s="31">
        <f t="shared" si="2"/>
        <v>0.05593381613</v>
      </c>
      <c r="F15" s="24">
        <v>10027.26</v>
      </c>
      <c r="G15" s="32">
        <f t="shared" si="3"/>
        <v>0.07154604472</v>
      </c>
      <c r="H15" s="25">
        <v>0.1635</v>
      </c>
      <c r="I15" s="33">
        <f t="shared" si="4"/>
        <v>-0.0207</v>
      </c>
      <c r="J15" s="23" t="s">
        <v>31</v>
      </c>
      <c r="K15" s="23" t="s">
        <v>31</v>
      </c>
      <c r="L15" s="26">
        <v>45750.0</v>
      </c>
      <c r="M15" s="34">
        <f t="shared" si="5"/>
        <v>0.03459972863</v>
      </c>
      <c r="N15" s="22">
        <v>312.7</v>
      </c>
      <c r="O15" s="34">
        <f t="shared" si="6"/>
        <v>0.08803061935</v>
      </c>
      <c r="P15" s="28"/>
      <c r="Q15" s="29"/>
      <c r="R15" s="14"/>
      <c r="S15" s="35"/>
      <c r="T15" s="12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</row>
    <row r="16">
      <c r="A16" s="21">
        <v>14611.0</v>
      </c>
      <c r="B16" s="22">
        <v>1428.075</v>
      </c>
      <c r="C16" s="30">
        <f t="shared" si="1"/>
        <v>0.08816906882</v>
      </c>
      <c r="D16" s="24">
        <v>1020.138</v>
      </c>
      <c r="E16" s="31">
        <f t="shared" si="2"/>
        <v>0.05178733263</v>
      </c>
      <c r="F16" s="24">
        <v>10808.72</v>
      </c>
      <c r="G16" s="32">
        <f t="shared" si="3"/>
        <v>0.07793355313</v>
      </c>
      <c r="H16" s="25">
        <v>0.1402</v>
      </c>
      <c r="I16" s="33">
        <f t="shared" si="4"/>
        <v>-0.0233</v>
      </c>
      <c r="J16" s="23" t="s">
        <v>31</v>
      </c>
      <c r="K16" s="23" t="s">
        <v>31</v>
      </c>
      <c r="L16" s="26">
        <v>47520.0</v>
      </c>
      <c r="M16" s="34">
        <f t="shared" si="5"/>
        <v>0.03868852459</v>
      </c>
      <c r="N16" s="22">
        <v>324.0</v>
      </c>
      <c r="O16" s="34">
        <f t="shared" si="6"/>
        <v>0.0361368724</v>
      </c>
      <c r="P16" s="28"/>
      <c r="Q16" s="29"/>
      <c r="R16" s="14"/>
      <c r="S16" s="35"/>
      <c r="T16" s="12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</row>
    <row r="17">
      <c r="A17" s="36">
        <v>14977.0</v>
      </c>
      <c r="B17" s="37">
        <v>1681.049</v>
      </c>
      <c r="C17" s="30">
        <f t="shared" si="1"/>
        <v>0.1771433573</v>
      </c>
      <c r="D17" s="38">
        <v>1092.242</v>
      </c>
      <c r="E17" s="31">
        <f t="shared" si="2"/>
        <v>0.0706806334</v>
      </c>
      <c r="F17" s="39">
        <v>12601.33</v>
      </c>
      <c r="G17" s="32">
        <f t="shared" si="3"/>
        <v>0.1658485001</v>
      </c>
      <c r="H17" s="40">
        <v>0.06</v>
      </c>
      <c r="I17" s="33">
        <f t="shared" si="4"/>
        <v>-0.0802</v>
      </c>
      <c r="J17" s="41" t="s">
        <v>31</v>
      </c>
      <c r="K17" s="41" t="s">
        <v>31</v>
      </c>
      <c r="L17" s="42">
        <v>50350.0</v>
      </c>
      <c r="M17" s="34">
        <f t="shared" si="5"/>
        <v>0.05955387205</v>
      </c>
      <c r="N17" s="43">
        <v>545.3</v>
      </c>
      <c r="O17" s="34">
        <f t="shared" si="6"/>
        <v>0.6830246914</v>
      </c>
      <c r="P17" s="28"/>
      <c r="Q17" s="29"/>
      <c r="R17" s="14"/>
      <c r="S17" s="35"/>
      <c r="T17" s="12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</row>
    <row r="18">
      <c r="A18" s="36">
        <v>15342.0</v>
      </c>
      <c r="B18" s="37">
        <v>1998.542</v>
      </c>
      <c r="C18" s="30">
        <f t="shared" si="1"/>
        <v>0.1888659997</v>
      </c>
      <c r="D18" s="38">
        <v>1066.328</v>
      </c>
      <c r="E18" s="31">
        <f t="shared" si="2"/>
        <v>-0.02372551138</v>
      </c>
      <c r="F18" s="39">
        <v>14819.43</v>
      </c>
      <c r="G18" s="32">
        <f t="shared" si="3"/>
        <v>0.1760211025</v>
      </c>
      <c r="H18" s="40">
        <v>0.0237999999999999</v>
      </c>
      <c r="I18" s="33">
        <f t="shared" si="4"/>
        <v>-0.0362</v>
      </c>
      <c r="J18" s="41" t="s">
        <v>31</v>
      </c>
      <c r="K18" s="41" t="s">
        <v>31</v>
      </c>
      <c r="L18" s="42">
        <v>53750.0</v>
      </c>
      <c r="M18" s="34">
        <f t="shared" si="5"/>
        <v>0.06752730884</v>
      </c>
      <c r="N18" s="43">
        <v>1267.0</v>
      </c>
      <c r="O18" s="34">
        <f t="shared" si="6"/>
        <v>1.323491656</v>
      </c>
      <c r="P18" s="28"/>
      <c r="Q18" s="29"/>
      <c r="R18" s="14"/>
      <c r="S18" s="35"/>
      <c r="T18" s="12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</row>
    <row r="19">
      <c r="A19" s="36">
        <v>15707.0</v>
      </c>
      <c r="B19" s="37">
        <v>2338.761</v>
      </c>
      <c r="C19" s="30">
        <f t="shared" si="1"/>
        <v>0.1702336003</v>
      </c>
      <c r="D19" s="38">
        <v>1096.056</v>
      </c>
      <c r="E19" s="31">
        <f t="shared" si="2"/>
        <v>0.02787885154</v>
      </c>
      <c r="F19" s="39">
        <v>17103.79</v>
      </c>
      <c r="G19" s="32">
        <f t="shared" si="3"/>
        <v>0.1541462796</v>
      </c>
      <c r="H19" s="40">
        <v>0.0189</v>
      </c>
      <c r="I19" s="33">
        <f t="shared" si="4"/>
        <v>-0.0049</v>
      </c>
      <c r="J19" s="41" t="s">
        <v>31</v>
      </c>
      <c r="K19" s="41" t="s">
        <v>31</v>
      </c>
      <c r="L19" s="42">
        <v>54470.0</v>
      </c>
      <c r="M19" s="34">
        <f t="shared" si="5"/>
        <v>0.01339534884</v>
      </c>
      <c r="N19" s="43">
        <v>1898.6</v>
      </c>
      <c r="O19" s="34">
        <f t="shared" si="6"/>
        <v>0.4985003946</v>
      </c>
      <c r="P19" s="28"/>
      <c r="Q19" s="29"/>
      <c r="R19" s="14"/>
      <c r="S19" s="35"/>
      <c r="T19" s="12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</row>
    <row r="20">
      <c r="A20" s="36">
        <v>16072.0</v>
      </c>
      <c r="B20" s="37">
        <v>2524.752</v>
      </c>
      <c r="C20" s="30">
        <f t="shared" si="1"/>
        <v>0.07952544103</v>
      </c>
      <c r="D20" s="38">
        <v>1127.231</v>
      </c>
      <c r="E20" s="31">
        <f t="shared" si="2"/>
        <v>0.02844288978</v>
      </c>
      <c r="F20" s="39">
        <v>18242.78</v>
      </c>
      <c r="G20" s="32">
        <f t="shared" si="3"/>
        <v>0.06659284287</v>
      </c>
      <c r="H20" s="40">
        <v>0.0121999999999999</v>
      </c>
      <c r="I20" s="33">
        <f t="shared" si="4"/>
        <v>-0.0067</v>
      </c>
      <c r="J20" s="41" t="s">
        <v>31</v>
      </c>
      <c r="K20" s="41" t="s">
        <v>31</v>
      </c>
      <c r="L20" s="42">
        <v>53880.0</v>
      </c>
      <c r="M20" s="34">
        <f t="shared" si="5"/>
        <v>-0.01083165045</v>
      </c>
      <c r="N20" s="43">
        <v>2131.1</v>
      </c>
      <c r="O20" s="34">
        <f t="shared" si="6"/>
        <v>0.1224586537</v>
      </c>
      <c r="P20" s="28"/>
      <c r="Q20" s="29"/>
      <c r="R20" s="14"/>
      <c r="S20" s="35"/>
      <c r="T20" s="12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</row>
    <row r="21">
      <c r="A21" s="36">
        <v>16438.0</v>
      </c>
      <c r="B21" s="37">
        <v>2500.057</v>
      </c>
      <c r="C21" s="30">
        <f t="shared" si="1"/>
        <v>-0.009781158704</v>
      </c>
      <c r="D21" s="38">
        <v>1196.935</v>
      </c>
      <c r="E21" s="31">
        <f t="shared" si="2"/>
        <v>0.0618364825</v>
      </c>
      <c r="F21" s="39">
        <v>17866.72</v>
      </c>
      <c r="G21" s="32">
        <f t="shared" si="3"/>
        <v>-0.02061418271</v>
      </c>
      <c r="H21" s="40">
        <v>0.02</v>
      </c>
      <c r="I21" s="33">
        <f t="shared" si="4"/>
        <v>0.0078</v>
      </c>
      <c r="J21" s="41" t="s">
        <v>31</v>
      </c>
      <c r="K21" s="41" t="s">
        <v>31</v>
      </c>
      <c r="L21" s="42">
        <v>52820.0</v>
      </c>
      <c r="M21" s="34">
        <f t="shared" si="5"/>
        <v>-0.01967334818</v>
      </c>
      <c r="N21" s="43">
        <v>1872.0</v>
      </c>
      <c r="O21" s="34">
        <f t="shared" si="6"/>
        <v>-0.1215804045</v>
      </c>
      <c r="P21" s="28"/>
      <c r="Q21" s="29"/>
      <c r="R21" s="14"/>
      <c r="S21" s="35"/>
      <c r="T21" s="12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</row>
    <row r="22">
      <c r="A22" s="21">
        <v>16803.0</v>
      </c>
      <c r="B22" s="22">
        <v>2209.911</v>
      </c>
      <c r="C22" s="30">
        <f t="shared" si="1"/>
        <v>-0.1160557539</v>
      </c>
      <c r="D22" s="24">
        <v>1344.928</v>
      </c>
      <c r="E22" s="31">
        <f t="shared" si="2"/>
        <v>0.1236433056</v>
      </c>
      <c r="F22" s="24">
        <v>15630.05</v>
      </c>
      <c r="G22" s="32">
        <f t="shared" si="3"/>
        <v>-0.12518638</v>
      </c>
      <c r="H22" s="25">
        <v>0.0397</v>
      </c>
      <c r="I22" s="33">
        <f t="shared" si="4"/>
        <v>0.0197</v>
      </c>
      <c r="J22" s="23" t="s">
        <v>31</v>
      </c>
      <c r="K22" s="23" t="s">
        <v>31</v>
      </c>
      <c r="L22" s="26">
        <v>55250.0</v>
      </c>
      <c r="M22" s="34">
        <f t="shared" si="5"/>
        <v>0.04600530102</v>
      </c>
      <c r="N22" s="22">
        <v>658.9</v>
      </c>
      <c r="O22" s="34">
        <f t="shared" si="6"/>
        <v>-0.6480235043</v>
      </c>
      <c r="P22" s="28"/>
      <c r="Q22" s="29"/>
      <c r="R22" s="14"/>
      <c r="S22" s="35"/>
      <c r="T22" s="12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</row>
    <row r="23">
      <c r="A23" s="21">
        <v>17168.0</v>
      </c>
      <c r="B23" s="22">
        <v>2184.614</v>
      </c>
      <c r="C23" s="30">
        <f t="shared" si="1"/>
        <v>-0.01144706733</v>
      </c>
      <c r="D23" s="24">
        <v>1370.608</v>
      </c>
      <c r="E23" s="31">
        <f t="shared" si="2"/>
        <v>0.01909395893</v>
      </c>
      <c r="F23" s="24">
        <v>15157.66</v>
      </c>
      <c r="G23" s="32">
        <f t="shared" si="3"/>
        <v>-0.03022319186</v>
      </c>
      <c r="H23" s="25">
        <v>0.0355</v>
      </c>
      <c r="I23" s="33">
        <f t="shared" si="4"/>
        <v>-0.0042</v>
      </c>
      <c r="J23" s="23" t="s">
        <v>31</v>
      </c>
      <c r="K23" s="23" t="s">
        <v>31</v>
      </c>
      <c r="L23" s="26">
        <v>58030.0</v>
      </c>
      <c r="M23" s="34">
        <f t="shared" si="5"/>
        <v>0.05031674208</v>
      </c>
      <c r="N23" s="22">
        <v>559.0</v>
      </c>
      <c r="O23" s="34">
        <f t="shared" si="6"/>
        <v>-0.1516163302</v>
      </c>
      <c r="P23" s="28"/>
      <c r="Q23" s="29"/>
      <c r="R23" s="14"/>
      <c r="S23" s="35"/>
      <c r="T23" s="12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</row>
    <row r="24">
      <c r="A24" s="21">
        <v>17533.0</v>
      </c>
      <c r="B24" s="22">
        <v>2274.627</v>
      </c>
      <c r="C24" s="30">
        <f t="shared" si="1"/>
        <v>0.04120315992</v>
      </c>
      <c r="D24" s="24">
        <v>1401.595</v>
      </c>
      <c r="E24" s="31">
        <f t="shared" si="2"/>
        <v>0.02260821475</v>
      </c>
      <c r="F24" s="24">
        <v>15512.56</v>
      </c>
      <c r="G24" s="32">
        <f t="shared" si="3"/>
        <v>0.02341390426</v>
      </c>
      <c r="H24" s="25">
        <v>0.038</v>
      </c>
      <c r="I24" s="33">
        <f t="shared" si="4"/>
        <v>0.0025</v>
      </c>
      <c r="J24" s="23" t="s">
        <v>31</v>
      </c>
      <c r="K24" s="23" t="s">
        <v>31</v>
      </c>
      <c r="L24" s="26">
        <v>58358.0</v>
      </c>
      <c r="M24" s="34">
        <f t="shared" si="5"/>
        <v>0.005652248837</v>
      </c>
      <c r="N24" s="22">
        <v>590.5</v>
      </c>
      <c r="O24" s="34">
        <f t="shared" si="6"/>
        <v>0.05635062612</v>
      </c>
      <c r="P24" s="28"/>
      <c r="Q24" s="29"/>
      <c r="R24" s="14"/>
      <c r="S24" s="35"/>
      <c r="T24" s="12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</row>
    <row r="25">
      <c r="A25" s="21">
        <v>17899.0</v>
      </c>
      <c r="B25" s="22">
        <v>2261.928</v>
      </c>
      <c r="C25" s="30">
        <f t="shared" si="1"/>
        <v>-0.005582893371</v>
      </c>
      <c r="D25" s="24">
        <v>1440.565</v>
      </c>
      <c r="E25" s="31">
        <f t="shared" si="2"/>
        <v>0.02780403754</v>
      </c>
      <c r="F25" s="24">
        <v>15161.58</v>
      </c>
      <c r="G25" s="32">
        <f t="shared" si="3"/>
        <v>-0.02262553698</v>
      </c>
      <c r="H25" s="25">
        <v>0.061</v>
      </c>
      <c r="I25" s="33">
        <f t="shared" si="4"/>
        <v>0.023</v>
      </c>
      <c r="J25" s="23" t="s">
        <v>31</v>
      </c>
      <c r="K25" s="23" t="s">
        <v>31</v>
      </c>
      <c r="L25" s="26">
        <v>57683.0</v>
      </c>
      <c r="M25" s="34">
        <f t="shared" si="5"/>
        <v>-0.01156653758</v>
      </c>
      <c r="N25" s="22">
        <v>654.1</v>
      </c>
      <c r="O25" s="34">
        <f t="shared" si="6"/>
        <v>0.1077053345</v>
      </c>
      <c r="P25" s="28"/>
      <c r="Q25" s="29"/>
      <c r="R25" s="14"/>
      <c r="S25" s="35"/>
      <c r="T25" s="12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</row>
    <row r="26">
      <c r="A26" s="44">
        <v>18264.0</v>
      </c>
      <c r="B26" s="45">
        <v>2458.532</v>
      </c>
      <c r="C26" s="30">
        <f t="shared" si="1"/>
        <v>0.08691877018</v>
      </c>
      <c r="D26" s="46">
        <v>1533.079</v>
      </c>
      <c r="E26" s="31">
        <f t="shared" si="2"/>
        <v>0.06422063565</v>
      </c>
      <c r="F26" s="39">
        <v>16145.72</v>
      </c>
      <c r="G26" s="32">
        <f t="shared" si="3"/>
        <v>0.0649101215</v>
      </c>
      <c r="H26" s="40">
        <v>0.052</v>
      </c>
      <c r="I26" s="33">
        <f t="shared" si="4"/>
        <v>-0.009</v>
      </c>
      <c r="J26" s="41" t="s">
        <v>31</v>
      </c>
      <c r="K26" s="41" t="s">
        <v>31</v>
      </c>
      <c r="L26" s="42">
        <v>58892.0</v>
      </c>
      <c r="M26" s="34">
        <f t="shared" si="5"/>
        <v>0.02095938145</v>
      </c>
      <c r="N26" s="43">
        <v>657.0</v>
      </c>
      <c r="O26" s="34">
        <f t="shared" si="6"/>
        <v>0.004433572848</v>
      </c>
      <c r="P26" s="28"/>
      <c r="Q26" s="29"/>
      <c r="R26" s="14"/>
      <c r="S26" s="35"/>
      <c r="T26" s="12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</row>
    <row r="27">
      <c r="A27" s="44">
        <v>18629.0</v>
      </c>
      <c r="B27" s="45">
        <v>2656.32</v>
      </c>
      <c r="C27" s="30">
        <f t="shared" si="1"/>
        <v>0.08044963417</v>
      </c>
      <c r="D27" s="46">
        <v>1557.103</v>
      </c>
      <c r="E27" s="31">
        <f t="shared" si="2"/>
        <v>0.01567042533</v>
      </c>
      <c r="F27" s="39">
        <v>17151.06</v>
      </c>
      <c r="G27" s="32">
        <f t="shared" si="3"/>
        <v>0.06226665643</v>
      </c>
      <c r="H27" s="40">
        <v>0.033</v>
      </c>
      <c r="I27" s="33">
        <f t="shared" si="4"/>
        <v>-0.019</v>
      </c>
      <c r="J27" s="41" t="s">
        <v>31</v>
      </c>
      <c r="K27" s="41" t="s">
        <v>31</v>
      </c>
      <c r="L27" s="42">
        <v>59967.0</v>
      </c>
      <c r="M27" s="34">
        <f t="shared" si="5"/>
        <v>0.01825375263</v>
      </c>
      <c r="N27" s="43">
        <v>898.3</v>
      </c>
      <c r="O27" s="34">
        <f t="shared" si="6"/>
        <v>0.3672754947</v>
      </c>
      <c r="P27" s="28"/>
      <c r="Q27" s="29"/>
      <c r="R27" s="14"/>
      <c r="S27" s="35"/>
      <c r="T27" s="12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</row>
    <row r="28">
      <c r="A28" s="44">
        <v>18994.0</v>
      </c>
      <c r="B28" s="45">
        <v>2764.803</v>
      </c>
      <c r="C28" s="30">
        <f t="shared" si="1"/>
        <v>0.04083958258</v>
      </c>
      <c r="D28" s="46">
        <v>1606.248</v>
      </c>
      <c r="E28" s="31">
        <f t="shared" si="2"/>
        <v>0.03156181704</v>
      </c>
      <c r="F28" s="39">
        <v>17548.43</v>
      </c>
      <c r="G28" s="32">
        <f t="shared" si="3"/>
        <v>0.02316883038</v>
      </c>
      <c r="H28" s="40">
        <v>0.03</v>
      </c>
      <c r="I28" s="33">
        <f t="shared" si="4"/>
        <v>-0.003</v>
      </c>
      <c r="J28" s="41" t="s">
        <v>31</v>
      </c>
      <c r="K28" s="41" t="s">
        <v>31</v>
      </c>
      <c r="L28" s="42">
        <v>60272.0</v>
      </c>
      <c r="M28" s="34">
        <f t="shared" si="5"/>
        <v>0.005086130705</v>
      </c>
      <c r="N28" s="43">
        <v>1075.5</v>
      </c>
      <c r="O28" s="34">
        <f t="shared" si="6"/>
        <v>0.1972614939</v>
      </c>
      <c r="P28" s="28"/>
      <c r="Q28" s="29"/>
      <c r="R28" s="14"/>
      <c r="S28" s="35"/>
      <c r="T28" s="12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</row>
    <row r="29">
      <c r="A29" s="44">
        <v>19360.0</v>
      </c>
      <c r="B29" s="45">
        <v>2894.411</v>
      </c>
      <c r="C29" s="30">
        <f t="shared" si="1"/>
        <v>0.04687784265</v>
      </c>
      <c r="D29" s="46">
        <v>1682.411</v>
      </c>
      <c r="E29" s="31">
        <f t="shared" si="2"/>
        <v>0.04741671274</v>
      </c>
      <c r="F29" s="39">
        <v>18069.27</v>
      </c>
      <c r="G29" s="32">
        <f t="shared" si="3"/>
        <v>0.02968014802</v>
      </c>
      <c r="H29" s="40">
        <v>0.0289999999999999</v>
      </c>
      <c r="I29" s="33">
        <f t="shared" si="4"/>
        <v>-0.001</v>
      </c>
      <c r="J29" s="41" t="s">
        <v>31</v>
      </c>
      <c r="K29" s="41" t="s">
        <v>31</v>
      </c>
      <c r="L29" s="42">
        <v>61206.0</v>
      </c>
      <c r="M29" s="34">
        <f t="shared" si="5"/>
        <v>0.01549641625</v>
      </c>
      <c r="N29" s="43">
        <v>1148.9</v>
      </c>
      <c r="O29" s="34">
        <f t="shared" si="6"/>
        <v>0.06824732682</v>
      </c>
      <c r="P29" s="28"/>
      <c r="Q29" s="29"/>
      <c r="R29" s="14"/>
      <c r="S29" s="35"/>
      <c r="T29" s="12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</row>
    <row r="30">
      <c r="A30" s="21">
        <v>19725.0</v>
      </c>
      <c r="B30" s="22">
        <v>2877.708</v>
      </c>
      <c r="C30" s="30">
        <f t="shared" si="1"/>
        <v>-0.005770776852</v>
      </c>
      <c r="D30" s="24">
        <v>1717.566</v>
      </c>
      <c r="E30" s="31">
        <f t="shared" si="2"/>
        <v>0.02089560755</v>
      </c>
      <c r="F30" s="24">
        <v>17651.85</v>
      </c>
      <c r="G30" s="32">
        <f t="shared" si="3"/>
        <v>-0.02310109927</v>
      </c>
      <c r="H30" s="25">
        <v>0.0559999999999999</v>
      </c>
      <c r="I30" s="33">
        <f t="shared" si="4"/>
        <v>0.027</v>
      </c>
      <c r="J30" s="23" t="s">
        <v>31</v>
      </c>
      <c r="K30" s="23" t="s">
        <v>31</v>
      </c>
      <c r="L30" s="26">
        <v>60107.0</v>
      </c>
      <c r="M30" s="34">
        <f t="shared" si="5"/>
        <v>-0.01795575597</v>
      </c>
      <c r="N30" s="22">
        <v>1075.0</v>
      </c>
      <c r="O30" s="34">
        <f t="shared" si="6"/>
        <v>-0.06432239533</v>
      </c>
      <c r="P30" s="28"/>
      <c r="Q30" s="29"/>
      <c r="R30" s="14"/>
      <c r="S30" s="35"/>
      <c r="T30" s="12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</row>
    <row r="31">
      <c r="A31" s="21">
        <v>20090.0</v>
      </c>
      <c r="B31" s="22">
        <v>3083.026</v>
      </c>
      <c r="C31" s="30">
        <f t="shared" si="1"/>
        <v>0.07134775314</v>
      </c>
      <c r="D31" s="24">
        <v>1844.282</v>
      </c>
      <c r="E31" s="31">
        <f t="shared" si="2"/>
        <v>0.07377649534</v>
      </c>
      <c r="F31" s="24">
        <v>18580.15</v>
      </c>
      <c r="G31" s="32">
        <f t="shared" si="3"/>
        <v>0.05258938865</v>
      </c>
      <c r="H31" s="25">
        <v>0.044</v>
      </c>
      <c r="I31" s="33">
        <f t="shared" si="4"/>
        <v>-0.012</v>
      </c>
      <c r="J31" s="23" t="s">
        <v>31</v>
      </c>
      <c r="K31" s="23" t="s">
        <v>31</v>
      </c>
      <c r="L31" s="26">
        <v>62131.0</v>
      </c>
      <c r="M31" s="34">
        <f t="shared" si="5"/>
        <v>0.03367328265</v>
      </c>
      <c r="N31" s="22">
        <v>1040.0</v>
      </c>
      <c r="O31" s="34">
        <f t="shared" si="6"/>
        <v>-0.03255813953</v>
      </c>
      <c r="P31" s="28"/>
      <c r="Q31" s="29"/>
      <c r="R31" s="14"/>
      <c r="S31" s="35"/>
      <c r="T31" s="12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</row>
    <row r="32">
      <c r="A32" s="21">
        <v>20455.0</v>
      </c>
      <c r="B32" s="22">
        <v>3148.765</v>
      </c>
      <c r="C32" s="30">
        <f t="shared" si="1"/>
        <v>0.02132288213</v>
      </c>
      <c r="D32" s="24">
        <v>1898.177</v>
      </c>
      <c r="E32" s="31">
        <f t="shared" si="2"/>
        <v>0.02922275444</v>
      </c>
      <c r="F32" s="24">
        <v>18642.44</v>
      </c>
      <c r="G32" s="32">
        <f t="shared" si="3"/>
        <v>0.003352502536</v>
      </c>
      <c r="H32" s="25">
        <v>0.0409999999999999</v>
      </c>
      <c r="I32" s="33">
        <f t="shared" si="4"/>
        <v>-0.003</v>
      </c>
      <c r="J32" s="23" t="s">
        <v>31</v>
      </c>
      <c r="K32" s="23" t="s">
        <v>31</v>
      </c>
      <c r="L32" s="26">
        <v>63792.0</v>
      </c>
      <c r="M32" s="34">
        <f t="shared" si="5"/>
        <v>0.02673383657</v>
      </c>
      <c r="N32" s="22">
        <v>1042.8</v>
      </c>
      <c r="O32" s="34">
        <f t="shared" si="6"/>
        <v>0.002692307692</v>
      </c>
      <c r="P32" s="28"/>
      <c r="Q32" s="29"/>
      <c r="R32" s="14"/>
      <c r="S32" s="35"/>
      <c r="T32" s="12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</row>
    <row r="33">
      <c r="A33" s="21">
        <v>20821.0</v>
      </c>
      <c r="B33" s="22">
        <v>3215.065</v>
      </c>
      <c r="C33" s="30">
        <f t="shared" si="1"/>
        <v>0.02105587429</v>
      </c>
      <c r="D33" s="24">
        <v>1945.234</v>
      </c>
      <c r="E33" s="31">
        <f t="shared" si="2"/>
        <v>0.02479062806</v>
      </c>
      <c r="F33" s="24">
        <v>18693.96</v>
      </c>
      <c r="G33" s="32">
        <f t="shared" si="3"/>
        <v>0.002763586741</v>
      </c>
      <c r="H33" s="25">
        <v>0.043</v>
      </c>
      <c r="I33" s="33">
        <f t="shared" si="4"/>
        <v>0.002</v>
      </c>
      <c r="J33" s="23" t="s">
        <v>31</v>
      </c>
      <c r="K33" s="23" t="s">
        <v>31</v>
      </c>
      <c r="L33" s="26">
        <v>64065.0</v>
      </c>
      <c r="M33" s="34">
        <f t="shared" si="5"/>
        <v>0.004279533484</v>
      </c>
      <c r="N33" s="22">
        <v>1091.0</v>
      </c>
      <c r="O33" s="34">
        <f t="shared" si="6"/>
        <v>0.04622171078</v>
      </c>
      <c r="P33" s="28"/>
      <c r="Q33" s="29"/>
      <c r="R33" s="14"/>
      <c r="S33" s="35"/>
      <c r="T33" s="12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</row>
    <row r="34">
      <c r="A34" s="21">
        <v>21186.0</v>
      </c>
      <c r="B34" s="22">
        <v>3191.216</v>
      </c>
      <c r="C34" s="30">
        <f t="shared" si="1"/>
        <v>-0.007417890463</v>
      </c>
      <c r="D34" s="24">
        <v>1962.088</v>
      </c>
      <c r="E34" s="31">
        <f t="shared" si="2"/>
        <v>0.008664253247</v>
      </c>
      <c r="F34" s="24">
        <v>18247.83</v>
      </c>
      <c r="G34" s="32">
        <f t="shared" si="3"/>
        <v>-0.0238649275</v>
      </c>
      <c r="H34" s="25">
        <v>0.068</v>
      </c>
      <c r="I34" s="33">
        <f t="shared" si="4"/>
        <v>0.025</v>
      </c>
      <c r="J34" s="23" t="s">
        <v>31</v>
      </c>
      <c r="K34" s="23" t="s">
        <v>31</v>
      </c>
      <c r="L34" s="26">
        <v>63043.0</v>
      </c>
      <c r="M34" s="34">
        <f t="shared" si="5"/>
        <v>-0.01595254819</v>
      </c>
      <c r="N34" s="22">
        <v>1127.0</v>
      </c>
      <c r="O34" s="34">
        <f t="shared" si="6"/>
        <v>0.03299725023</v>
      </c>
      <c r="P34" s="28"/>
      <c r="Q34" s="29"/>
      <c r="R34" s="14"/>
      <c r="S34" s="35"/>
      <c r="T34" s="12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</row>
    <row r="35">
      <c r="A35" s="21">
        <v>21551.0</v>
      </c>
      <c r="B35" s="22">
        <v>3412.421</v>
      </c>
      <c r="C35" s="30">
        <f t="shared" si="1"/>
        <v>0.06931683722</v>
      </c>
      <c r="D35" s="24">
        <v>2074.039</v>
      </c>
      <c r="E35" s="31">
        <f t="shared" si="2"/>
        <v>0.05705707389</v>
      </c>
      <c r="F35" s="24">
        <v>19189.27</v>
      </c>
      <c r="G35" s="32">
        <f t="shared" si="3"/>
        <v>0.05159188791</v>
      </c>
      <c r="H35" s="25">
        <v>0.055</v>
      </c>
      <c r="I35" s="33">
        <f t="shared" si="4"/>
        <v>-0.013</v>
      </c>
      <c r="J35" s="23" t="s">
        <v>31</v>
      </c>
      <c r="K35" s="23" t="s">
        <v>31</v>
      </c>
      <c r="L35" s="26">
        <v>64629.0</v>
      </c>
      <c r="M35" s="34">
        <f t="shared" si="5"/>
        <v>0.02515743223</v>
      </c>
      <c r="N35" s="22">
        <v>1155.8</v>
      </c>
      <c r="O35" s="34">
        <f t="shared" si="6"/>
        <v>0.02555456965</v>
      </c>
      <c r="P35" s="28"/>
      <c r="Q35" s="29"/>
      <c r="R35" s="14"/>
      <c r="S35" s="35"/>
      <c r="T35" s="12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</row>
    <row r="36">
      <c r="A36" s="21">
        <v>21916.0</v>
      </c>
      <c r="B36" s="22">
        <v>3500.272</v>
      </c>
      <c r="C36" s="30">
        <f t="shared" si="1"/>
        <v>0.02574447877</v>
      </c>
      <c r="D36" s="24">
        <v>2130.948</v>
      </c>
      <c r="E36" s="31">
        <f t="shared" si="2"/>
        <v>0.02743873187</v>
      </c>
      <c r="F36" s="24">
        <v>19373.72</v>
      </c>
      <c r="G36" s="32">
        <f t="shared" si="3"/>
        <v>0.009612142619</v>
      </c>
      <c r="H36" s="25">
        <v>0.055</v>
      </c>
      <c r="I36" s="33">
        <f t="shared" si="4"/>
        <v>0</v>
      </c>
      <c r="J36" s="23" t="s">
        <v>31</v>
      </c>
      <c r="K36" s="23" t="s">
        <v>31</v>
      </c>
      <c r="L36" s="26">
        <v>65785.0</v>
      </c>
      <c r="M36" s="34">
        <f t="shared" si="5"/>
        <v>0.01788670721</v>
      </c>
      <c r="N36" s="22">
        <v>1163.0</v>
      </c>
      <c r="O36" s="34">
        <f t="shared" si="6"/>
        <v>0.006229451462</v>
      </c>
      <c r="P36" s="28"/>
      <c r="Q36" s="29"/>
      <c r="R36" s="14"/>
      <c r="S36" s="35"/>
      <c r="T36" s="12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</row>
    <row r="37">
      <c r="A37" s="21">
        <v>22282.0</v>
      </c>
      <c r="B37" s="22">
        <v>3590.066</v>
      </c>
      <c r="C37" s="30">
        <f t="shared" si="1"/>
        <v>0.02565343493</v>
      </c>
      <c r="D37" s="24">
        <v>2174.654</v>
      </c>
      <c r="E37" s="31">
        <f t="shared" si="2"/>
        <v>0.02051012038</v>
      </c>
      <c r="F37" s="24">
        <v>19544.0</v>
      </c>
      <c r="G37" s="32">
        <f t="shared" si="3"/>
        <v>0.008789225817</v>
      </c>
      <c r="H37" s="25">
        <v>0.067</v>
      </c>
      <c r="I37" s="33">
        <f t="shared" si="4"/>
        <v>0.012</v>
      </c>
      <c r="J37" s="23" t="s">
        <v>31</v>
      </c>
      <c r="K37" s="23" t="s">
        <v>31</v>
      </c>
      <c r="L37" s="26">
        <v>65744.0</v>
      </c>
      <c r="M37" s="34">
        <f t="shared" si="5"/>
        <v>-0.0006232423805</v>
      </c>
      <c r="N37" s="22">
        <v>1226.0</v>
      </c>
      <c r="O37" s="34">
        <f t="shared" si="6"/>
        <v>0.05417024936</v>
      </c>
      <c r="P37" s="28"/>
      <c r="Q37" s="29"/>
      <c r="R37" s="14"/>
      <c r="S37" s="35"/>
      <c r="T37" s="12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</row>
    <row r="38">
      <c r="A38" s="21">
        <v>22647.0</v>
      </c>
      <c r="B38" s="22">
        <v>3810.124</v>
      </c>
      <c r="C38" s="30">
        <f t="shared" si="1"/>
        <v>0.06129636614</v>
      </c>
      <c r="D38" s="24">
        <v>2282.175</v>
      </c>
      <c r="E38" s="31">
        <f t="shared" si="2"/>
        <v>0.04944280791</v>
      </c>
      <c r="F38" s="24">
        <v>20425.49</v>
      </c>
      <c r="G38" s="32">
        <f t="shared" si="3"/>
        <v>0.04510284486</v>
      </c>
      <c r="H38" s="25">
        <v>0.0559999999999999</v>
      </c>
      <c r="I38" s="33">
        <f t="shared" si="4"/>
        <v>-0.011</v>
      </c>
      <c r="J38" s="23" t="s">
        <v>31</v>
      </c>
      <c r="K38" s="23" t="s">
        <v>31</v>
      </c>
      <c r="L38" s="26">
        <v>66702.0</v>
      </c>
      <c r="M38" s="34">
        <f t="shared" si="5"/>
        <v>0.01457167194</v>
      </c>
      <c r="N38" s="22">
        <v>1307.0</v>
      </c>
      <c r="O38" s="34">
        <f t="shared" si="6"/>
        <v>0.0660685155</v>
      </c>
      <c r="P38" s="28"/>
      <c r="Q38" s="29"/>
      <c r="R38" s="14"/>
      <c r="S38" s="35"/>
      <c r="T38" s="12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</row>
    <row r="39">
      <c r="A39" s="21">
        <v>23012.0</v>
      </c>
      <c r="B39" s="22">
        <v>3976.142</v>
      </c>
      <c r="C39" s="30">
        <f t="shared" si="1"/>
        <v>0.0435728601</v>
      </c>
      <c r="D39" s="24">
        <v>2376.35</v>
      </c>
      <c r="E39" s="31">
        <f t="shared" si="2"/>
        <v>0.04126545948</v>
      </c>
      <c r="F39" s="24">
        <v>21010.91</v>
      </c>
      <c r="G39" s="32">
        <f t="shared" si="3"/>
        <v>0.02866124632</v>
      </c>
      <c r="H39" s="25">
        <v>0.0559999999999999</v>
      </c>
      <c r="I39" s="33">
        <f t="shared" si="4"/>
        <v>0</v>
      </c>
      <c r="J39" s="47">
        <v>36.7</v>
      </c>
      <c r="K39" s="23" t="s">
        <v>31</v>
      </c>
      <c r="L39" s="26">
        <v>67760.0</v>
      </c>
      <c r="M39" s="34">
        <f t="shared" si="5"/>
        <v>0.01586159336</v>
      </c>
      <c r="N39" s="22">
        <v>1338.3</v>
      </c>
      <c r="O39" s="34">
        <f t="shared" si="6"/>
        <v>0.02394797246</v>
      </c>
      <c r="P39" s="28"/>
      <c r="Q39" s="29"/>
      <c r="R39" s="14"/>
      <c r="S39" s="35"/>
      <c r="T39" s="12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</row>
    <row r="40">
      <c r="A40" s="44">
        <v>23377.0</v>
      </c>
      <c r="B40" s="45">
        <v>4205.277</v>
      </c>
      <c r="C40" s="30">
        <f t="shared" si="1"/>
        <v>0.05762746904</v>
      </c>
      <c r="D40" s="46">
        <v>2517.774</v>
      </c>
      <c r="E40" s="31">
        <f t="shared" si="2"/>
        <v>0.05951311886</v>
      </c>
      <c r="F40" s="39">
        <v>21915.18</v>
      </c>
      <c r="G40" s="32">
        <f t="shared" si="3"/>
        <v>0.04303811686</v>
      </c>
      <c r="H40" s="40">
        <v>0.052</v>
      </c>
      <c r="I40" s="33">
        <f t="shared" si="4"/>
        <v>-0.004</v>
      </c>
      <c r="J40" s="48">
        <v>37.4</v>
      </c>
      <c r="K40" s="23">
        <f t="shared" ref="K40:K99" si="7">J40-J39</f>
        <v>0.7</v>
      </c>
      <c r="L40" s="49">
        <v>69301.0</v>
      </c>
      <c r="M40" s="34">
        <f t="shared" si="5"/>
        <v>0.0227420307</v>
      </c>
      <c r="N40" s="43">
        <v>1371.1</v>
      </c>
      <c r="O40" s="34">
        <f t="shared" si="6"/>
        <v>0.02450870507</v>
      </c>
      <c r="P40" s="28"/>
      <c r="Q40" s="29"/>
      <c r="R40" s="14"/>
      <c r="S40" s="35"/>
      <c r="T40" s="12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</row>
    <row r="41">
      <c r="A41" s="44">
        <v>23743.0</v>
      </c>
      <c r="B41" s="45">
        <v>4478.555</v>
      </c>
      <c r="C41" s="30">
        <f t="shared" si="1"/>
        <v>0.06498454204</v>
      </c>
      <c r="D41" s="46">
        <v>2677.492</v>
      </c>
      <c r="E41" s="31">
        <f t="shared" si="2"/>
        <v>0.06343619403</v>
      </c>
      <c r="F41" s="39">
        <v>23049.34</v>
      </c>
      <c r="G41" s="32">
        <f t="shared" si="3"/>
        <v>0.05175225574</v>
      </c>
      <c r="H41" s="40">
        <v>0.045</v>
      </c>
      <c r="I41" s="33">
        <f t="shared" si="4"/>
        <v>-0.007</v>
      </c>
      <c r="J41" s="48">
        <v>36.8</v>
      </c>
      <c r="K41" s="23">
        <f t="shared" si="7"/>
        <v>-0.6</v>
      </c>
      <c r="L41" s="49">
        <v>71070.0</v>
      </c>
      <c r="M41" s="34">
        <f t="shared" si="5"/>
        <v>0.02552632718</v>
      </c>
      <c r="N41" s="43">
        <v>1415.0</v>
      </c>
      <c r="O41" s="34">
        <f t="shared" si="6"/>
        <v>0.03201808767</v>
      </c>
      <c r="P41" s="28"/>
      <c r="Q41" s="29"/>
      <c r="R41" s="14"/>
      <c r="S41" s="35"/>
      <c r="T41" s="12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</row>
    <row r="42">
      <c r="A42" s="44">
        <v>24108.0</v>
      </c>
      <c r="B42" s="45">
        <v>4773.931</v>
      </c>
      <c r="C42" s="30">
        <f t="shared" si="1"/>
        <v>0.06595341578</v>
      </c>
      <c r="D42" s="46">
        <v>2829.308</v>
      </c>
      <c r="E42" s="31">
        <f t="shared" si="2"/>
        <v>0.05670082301</v>
      </c>
      <c r="F42" s="39">
        <v>24287.36</v>
      </c>
      <c r="G42" s="32">
        <f t="shared" si="3"/>
        <v>0.05371173318</v>
      </c>
      <c r="H42" s="40">
        <v>0.038</v>
      </c>
      <c r="I42" s="33">
        <f t="shared" si="4"/>
        <v>-0.007</v>
      </c>
      <c r="J42" s="48">
        <v>37.1</v>
      </c>
      <c r="K42" s="23">
        <f t="shared" si="7"/>
        <v>0.3</v>
      </c>
      <c r="L42" s="49">
        <v>72878.0</v>
      </c>
      <c r="M42" s="34">
        <f t="shared" si="5"/>
        <v>0.02543970733</v>
      </c>
      <c r="N42" s="43">
        <v>1538.3</v>
      </c>
      <c r="O42" s="34">
        <f t="shared" si="6"/>
        <v>0.08713780919</v>
      </c>
      <c r="P42" s="28"/>
      <c r="Q42" s="29"/>
      <c r="R42" s="14"/>
      <c r="S42" s="35"/>
      <c r="T42" s="12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</row>
    <row r="43">
      <c r="A43" s="44">
        <v>24473.0</v>
      </c>
      <c r="B43" s="45">
        <v>4904.864</v>
      </c>
      <c r="C43" s="30">
        <f t="shared" si="1"/>
        <v>0.02742666369</v>
      </c>
      <c r="D43" s="46">
        <v>2913.89</v>
      </c>
      <c r="E43" s="31">
        <f t="shared" si="2"/>
        <v>0.02989494251</v>
      </c>
      <c r="F43" s="39">
        <v>24683.27</v>
      </c>
      <c r="G43" s="32">
        <f t="shared" si="3"/>
        <v>0.01630107183</v>
      </c>
      <c r="H43" s="40">
        <v>0.038</v>
      </c>
      <c r="I43" s="33">
        <f t="shared" si="4"/>
        <v>0</v>
      </c>
      <c r="J43" s="48">
        <v>36.9</v>
      </c>
      <c r="K43" s="23">
        <f t="shared" si="7"/>
        <v>-0.2</v>
      </c>
      <c r="L43" s="49">
        <v>74376.0</v>
      </c>
      <c r="M43" s="34">
        <f t="shared" si="5"/>
        <v>0.02055489997</v>
      </c>
      <c r="N43" s="43">
        <v>1660.4</v>
      </c>
      <c r="O43" s="34">
        <f t="shared" si="6"/>
        <v>0.0793733342</v>
      </c>
      <c r="P43" s="28"/>
      <c r="Q43" s="29"/>
      <c r="R43" s="14"/>
      <c r="S43" s="35"/>
      <c r="T43" s="12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</row>
    <row r="44">
      <c r="A44" s="44">
        <v>24838.0</v>
      </c>
      <c r="B44" s="45">
        <v>5145.914</v>
      </c>
      <c r="C44" s="30">
        <f t="shared" si="1"/>
        <v>0.04914509352</v>
      </c>
      <c r="D44" s="46">
        <v>3081.798</v>
      </c>
      <c r="E44" s="31">
        <f t="shared" si="2"/>
        <v>0.05762331454</v>
      </c>
      <c r="F44" s="39">
        <v>25639.06</v>
      </c>
      <c r="G44" s="32">
        <f t="shared" si="3"/>
        <v>0.03872217903</v>
      </c>
      <c r="H44" s="40">
        <v>0.036</v>
      </c>
      <c r="I44" s="33">
        <f t="shared" si="4"/>
        <v>-0.002</v>
      </c>
      <c r="J44" s="48">
        <v>36.3</v>
      </c>
      <c r="K44" s="23">
        <f t="shared" si="7"/>
        <v>-0.6</v>
      </c>
      <c r="L44" s="49">
        <v>75913.0</v>
      </c>
      <c r="M44" s="34">
        <f t="shared" si="5"/>
        <v>0.02066526837</v>
      </c>
      <c r="N44" s="43">
        <v>1716.8</v>
      </c>
      <c r="O44" s="34">
        <f t="shared" si="6"/>
        <v>0.03396771862</v>
      </c>
      <c r="P44" s="28"/>
      <c r="Q44" s="29"/>
      <c r="R44" s="14"/>
      <c r="S44" s="35"/>
      <c r="T44" s="12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</row>
    <row r="45">
      <c r="A45" s="44">
        <v>25204.0</v>
      </c>
      <c r="B45" s="45">
        <v>5306.594</v>
      </c>
      <c r="C45" s="30">
        <f t="shared" si="1"/>
        <v>0.03122477367</v>
      </c>
      <c r="D45" s="46">
        <v>3196.74</v>
      </c>
      <c r="E45" s="31">
        <f t="shared" si="2"/>
        <v>0.03729705841</v>
      </c>
      <c r="F45" s="39">
        <v>26182.52</v>
      </c>
      <c r="G45" s="32">
        <f t="shared" si="3"/>
        <v>0.02119656493</v>
      </c>
      <c r="H45" s="40">
        <v>0.035</v>
      </c>
      <c r="I45" s="33">
        <f t="shared" si="4"/>
        <v>-0.001</v>
      </c>
      <c r="J45" s="48">
        <v>36.0</v>
      </c>
      <c r="K45" s="23">
        <f t="shared" si="7"/>
        <v>-0.3</v>
      </c>
      <c r="L45" s="49">
        <v>77875.0</v>
      </c>
      <c r="M45" s="34">
        <f t="shared" si="5"/>
        <v>0.02584537563</v>
      </c>
      <c r="N45" s="43">
        <v>1718.0</v>
      </c>
      <c r="O45" s="34">
        <f t="shared" si="6"/>
        <v>0.0006989748369</v>
      </c>
      <c r="P45" s="28"/>
      <c r="Q45" s="29"/>
      <c r="R45" s="14"/>
      <c r="S45" s="35"/>
      <c r="T45" s="12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</row>
    <row r="46">
      <c r="A46" s="44">
        <v>25569.0</v>
      </c>
      <c r="B46" s="45">
        <v>5316.391</v>
      </c>
      <c r="C46" s="30">
        <f t="shared" si="1"/>
        <v>0.001846193623</v>
      </c>
      <c r="D46" s="46">
        <v>3271.963</v>
      </c>
      <c r="E46" s="31">
        <f t="shared" si="2"/>
        <v>0.02353115987</v>
      </c>
      <c r="F46" s="39">
        <v>25927.02</v>
      </c>
      <c r="G46" s="32">
        <f t="shared" si="3"/>
        <v>-0.009758418976</v>
      </c>
      <c r="H46" s="40">
        <v>0.05</v>
      </c>
      <c r="I46" s="33">
        <f t="shared" si="4"/>
        <v>0.015</v>
      </c>
      <c r="J46" s="48">
        <v>36.6</v>
      </c>
      <c r="K46" s="23">
        <f t="shared" si="7"/>
        <v>0.6</v>
      </c>
      <c r="L46" s="49">
        <v>78669.0</v>
      </c>
      <c r="M46" s="34">
        <f t="shared" si="5"/>
        <v>0.01019582665</v>
      </c>
      <c r="N46" s="43">
        <v>1682.1</v>
      </c>
      <c r="O46" s="34">
        <f t="shared" si="6"/>
        <v>-0.02089639115</v>
      </c>
      <c r="P46" s="28"/>
      <c r="Q46" s="29"/>
      <c r="R46" s="14"/>
      <c r="S46" s="35"/>
      <c r="T46" s="12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</row>
    <row r="47">
      <c r="A47" s="44">
        <v>25934.0</v>
      </c>
      <c r="B47" s="45">
        <v>5491.445</v>
      </c>
      <c r="C47" s="30">
        <f t="shared" si="1"/>
        <v>0.0329272245</v>
      </c>
      <c r="D47" s="46">
        <v>3396.916</v>
      </c>
      <c r="E47" s="31">
        <f t="shared" si="2"/>
        <v>0.03818900153</v>
      </c>
      <c r="F47" s="39">
        <v>26444.32</v>
      </c>
      <c r="G47" s="32">
        <f t="shared" si="3"/>
        <v>0.01995215802</v>
      </c>
      <c r="H47" s="40">
        <v>0.06</v>
      </c>
      <c r="I47" s="33">
        <f t="shared" si="4"/>
        <v>0.01</v>
      </c>
      <c r="J47" s="48">
        <v>36.9</v>
      </c>
      <c r="K47" s="23">
        <f t="shared" si="7"/>
        <v>0.3</v>
      </c>
      <c r="L47" s="49">
        <v>79355.0</v>
      </c>
      <c r="M47" s="34">
        <f t="shared" si="5"/>
        <v>0.008720080337</v>
      </c>
      <c r="N47" s="43">
        <v>1650.5</v>
      </c>
      <c r="O47" s="34">
        <f t="shared" si="6"/>
        <v>-0.01878604126</v>
      </c>
      <c r="P47" s="28"/>
      <c r="Q47" s="29"/>
      <c r="R47" s="14"/>
      <c r="S47" s="35"/>
      <c r="T47" s="12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</row>
    <row r="48">
      <c r="A48" s="44">
        <v>26299.0</v>
      </c>
      <c r="B48" s="45">
        <v>5780.048</v>
      </c>
      <c r="C48" s="30">
        <f t="shared" si="1"/>
        <v>0.05255501967</v>
      </c>
      <c r="D48" s="46">
        <v>3604.971</v>
      </c>
      <c r="E48" s="31">
        <f t="shared" si="2"/>
        <v>0.06124820278</v>
      </c>
      <c r="F48" s="39">
        <v>27537.67</v>
      </c>
      <c r="G48" s="32">
        <f t="shared" si="3"/>
        <v>0.04134536263</v>
      </c>
      <c r="H48" s="40">
        <v>0.0559999999999999</v>
      </c>
      <c r="I48" s="33">
        <f t="shared" si="4"/>
        <v>-0.004</v>
      </c>
      <c r="J48" s="48">
        <v>36.7</v>
      </c>
      <c r="K48" s="23">
        <f t="shared" si="7"/>
        <v>-0.2</v>
      </c>
      <c r="L48" s="49">
        <v>82135.0</v>
      </c>
      <c r="M48" s="34">
        <f t="shared" si="5"/>
        <v>0.03503244912</v>
      </c>
      <c r="N48" s="43">
        <v>1642.0</v>
      </c>
      <c r="O48" s="34">
        <f t="shared" si="6"/>
        <v>-0.005149954559</v>
      </c>
      <c r="P48" s="28"/>
      <c r="Q48" s="29"/>
      <c r="R48" s="14"/>
      <c r="S48" s="35"/>
      <c r="T48" s="12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</row>
    <row r="49">
      <c r="A49" s="44">
        <v>26665.0</v>
      </c>
      <c r="B49" s="45">
        <v>6106.371</v>
      </c>
      <c r="C49" s="30">
        <f t="shared" si="1"/>
        <v>0.05645679759</v>
      </c>
      <c r="D49" s="46">
        <v>3783.374</v>
      </c>
      <c r="E49" s="31">
        <f t="shared" si="2"/>
        <v>0.04948805413</v>
      </c>
      <c r="F49" s="39">
        <v>28816.03</v>
      </c>
      <c r="G49" s="32">
        <f t="shared" si="3"/>
        <v>0.04642222817</v>
      </c>
      <c r="H49" s="40">
        <v>0.049</v>
      </c>
      <c r="I49" s="33">
        <f t="shared" si="4"/>
        <v>-0.007</v>
      </c>
      <c r="J49" s="48">
        <v>36.1</v>
      </c>
      <c r="K49" s="23">
        <f t="shared" si="7"/>
        <v>-0.6</v>
      </c>
      <c r="L49" s="49">
        <v>85051.0</v>
      </c>
      <c r="M49" s="34">
        <f t="shared" si="5"/>
        <v>0.03550252633</v>
      </c>
      <c r="N49" s="43">
        <v>1636.5</v>
      </c>
      <c r="O49" s="34">
        <f t="shared" si="6"/>
        <v>-0.003349573691</v>
      </c>
      <c r="P49" s="28"/>
      <c r="Q49" s="29"/>
      <c r="R49" s="14"/>
      <c r="S49" s="35"/>
      <c r="T49" s="12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</row>
    <row r="50">
      <c r="A50" s="44">
        <v>27030.0</v>
      </c>
      <c r="B50" s="45">
        <v>6073.363</v>
      </c>
      <c r="C50" s="30">
        <f t="shared" si="1"/>
        <v>-0.005405501893</v>
      </c>
      <c r="D50" s="46">
        <v>3751.681</v>
      </c>
      <c r="E50" s="31">
        <f t="shared" si="2"/>
        <v>-0.008376914363</v>
      </c>
      <c r="F50" s="39">
        <v>28399.59</v>
      </c>
      <c r="G50" s="32">
        <f t="shared" si="3"/>
        <v>-0.01445167846</v>
      </c>
      <c r="H50" s="40">
        <v>0.0559999999999999</v>
      </c>
      <c r="I50" s="33">
        <f t="shared" si="4"/>
        <v>0.007</v>
      </c>
      <c r="J50" s="48">
        <v>35.5</v>
      </c>
      <c r="K50" s="23">
        <f t="shared" si="7"/>
        <v>-0.6</v>
      </c>
      <c r="L50" s="49">
        <v>86803.0</v>
      </c>
      <c r="M50" s="34">
        <f t="shared" si="5"/>
        <v>0.02059940506</v>
      </c>
      <c r="N50" s="43">
        <v>1672.5</v>
      </c>
      <c r="O50" s="34">
        <f t="shared" si="6"/>
        <v>0.02199816682</v>
      </c>
      <c r="P50" s="28"/>
      <c r="Q50" s="29"/>
      <c r="R50" s="14"/>
      <c r="S50" s="35"/>
      <c r="T50" s="12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</row>
    <row r="51">
      <c r="A51" s="44">
        <v>27395.0</v>
      </c>
      <c r="B51" s="45">
        <v>6060.875</v>
      </c>
      <c r="C51" s="30">
        <f t="shared" si="1"/>
        <v>-0.002056191932</v>
      </c>
      <c r="D51" s="46">
        <v>3836.749</v>
      </c>
      <c r="E51" s="31">
        <f t="shared" si="2"/>
        <v>0.02267463572</v>
      </c>
      <c r="F51" s="39">
        <v>28063.09</v>
      </c>
      <c r="G51" s="32">
        <f t="shared" si="3"/>
        <v>-0.01184876261</v>
      </c>
      <c r="H51" s="40">
        <v>0.085</v>
      </c>
      <c r="I51" s="33">
        <f t="shared" si="4"/>
        <v>0.029</v>
      </c>
      <c r="J51" s="48">
        <v>35.6</v>
      </c>
      <c r="K51" s="23">
        <f t="shared" si="7"/>
        <v>0.1</v>
      </c>
      <c r="L51" s="49">
        <v>85830.0</v>
      </c>
      <c r="M51" s="34">
        <f t="shared" si="5"/>
        <v>-0.01120929</v>
      </c>
      <c r="N51" s="43">
        <v>1709.0</v>
      </c>
      <c r="O51" s="34">
        <f t="shared" si="6"/>
        <v>0.02182361734</v>
      </c>
      <c r="P51" s="28"/>
      <c r="Q51" s="29"/>
      <c r="R51" s="14"/>
      <c r="S51" s="35"/>
      <c r="T51" s="12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</row>
    <row r="52">
      <c r="A52" s="21">
        <v>27760.0</v>
      </c>
      <c r="B52" s="22">
        <v>6387.437</v>
      </c>
      <c r="C52" s="30">
        <f t="shared" si="1"/>
        <v>0.05388033906</v>
      </c>
      <c r="D52" s="24">
        <v>4050.586</v>
      </c>
      <c r="E52" s="31">
        <f t="shared" si="2"/>
        <v>0.05573390389</v>
      </c>
      <c r="F52" s="24">
        <v>29295.44</v>
      </c>
      <c r="G52" s="32">
        <f t="shared" si="3"/>
        <v>0.04391355335</v>
      </c>
      <c r="H52" s="25">
        <v>0.077</v>
      </c>
      <c r="I52" s="33">
        <f t="shared" si="4"/>
        <v>-0.008</v>
      </c>
      <c r="J52" s="47">
        <v>35.6</v>
      </c>
      <c r="K52" s="23">
        <f t="shared" si="7"/>
        <v>0</v>
      </c>
      <c r="L52" s="26">
        <v>88753.0</v>
      </c>
      <c r="M52" s="34">
        <f t="shared" si="5"/>
        <v>0.03405569148</v>
      </c>
      <c r="N52" s="22">
        <v>1718.2</v>
      </c>
      <c r="O52" s="34">
        <f t="shared" si="6"/>
        <v>0.005383265067</v>
      </c>
      <c r="P52" s="28"/>
      <c r="Q52" s="29"/>
      <c r="R52" s="14"/>
      <c r="S52" s="35"/>
      <c r="T52" s="12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</row>
    <row r="53">
      <c r="A53" s="21">
        <v>28126.0</v>
      </c>
      <c r="B53" s="22">
        <v>6682.804</v>
      </c>
      <c r="C53" s="30">
        <f t="shared" si="1"/>
        <v>0.04624186509</v>
      </c>
      <c r="D53" s="24">
        <v>4221.781</v>
      </c>
      <c r="E53" s="31">
        <f t="shared" si="2"/>
        <v>0.0422642551</v>
      </c>
      <c r="F53" s="24">
        <v>30343.36</v>
      </c>
      <c r="G53" s="32">
        <f t="shared" si="3"/>
        <v>0.03577075477</v>
      </c>
      <c r="H53" s="25">
        <v>0.071</v>
      </c>
      <c r="I53" s="33">
        <f t="shared" si="4"/>
        <v>-0.006</v>
      </c>
      <c r="J53" s="47">
        <v>35.5</v>
      </c>
      <c r="K53" s="23">
        <f t="shared" si="7"/>
        <v>-0.1</v>
      </c>
      <c r="L53" s="26">
        <v>92017.0</v>
      </c>
      <c r="M53" s="34">
        <f t="shared" si="5"/>
        <v>0.03677622165</v>
      </c>
      <c r="N53" s="22">
        <v>1738.9</v>
      </c>
      <c r="O53" s="34">
        <f t="shared" si="6"/>
        <v>0.01204749156</v>
      </c>
      <c r="P53" s="28"/>
      <c r="Q53" s="29"/>
      <c r="R53" s="14"/>
      <c r="S53" s="35"/>
      <c r="T53" s="12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</row>
    <row r="54">
      <c r="A54" s="21">
        <v>28491.0</v>
      </c>
      <c r="B54" s="22">
        <v>7052.711</v>
      </c>
      <c r="C54" s="30">
        <f t="shared" si="1"/>
        <v>0.05535206479</v>
      </c>
      <c r="D54" s="24">
        <v>4406.545</v>
      </c>
      <c r="E54" s="31">
        <f t="shared" si="2"/>
        <v>0.04376446812</v>
      </c>
      <c r="F54" s="24">
        <v>31685.54</v>
      </c>
      <c r="G54" s="32">
        <f t="shared" si="3"/>
        <v>0.04423307109</v>
      </c>
      <c r="H54" s="25">
        <v>0.061</v>
      </c>
      <c r="I54" s="33">
        <f t="shared" si="4"/>
        <v>-0.01</v>
      </c>
      <c r="J54" s="47">
        <v>34.8</v>
      </c>
      <c r="K54" s="23">
        <f t="shared" si="7"/>
        <v>-0.7</v>
      </c>
      <c r="L54" s="26">
        <v>96046.0</v>
      </c>
      <c r="M54" s="34">
        <f t="shared" si="5"/>
        <v>0.04378538748</v>
      </c>
      <c r="N54" s="22">
        <v>1788.8</v>
      </c>
      <c r="O54" s="34">
        <f t="shared" si="6"/>
        <v>0.02869630226</v>
      </c>
      <c r="P54" s="28"/>
      <c r="Q54" s="29"/>
      <c r="R54" s="14"/>
      <c r="S54" s="35"/>
      <c r="T54" s="12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</row>
    <row r="55">
      <c r="A55" s="21">
        <v>28856.0</v>
      </c>
      <c r="B55" s="22">
        <v>7275.999</v>
      </c>
      <c r="C55" s="30">
        <f t="shared" si="1"/>
        <v>0.03165988228</v>
      </c>
      <c r="D55" s="24">
        <v>4511.288</v>
      </c>
      <c r="E55" s="31">
        <f t="shared" si="2"/>
        <v>0.02376986959</v>
      </c>
      <c r="F55" s="24">
        <v>32329.8</v>
      </c>
      <c r="G55" s="32">
        <f t="shared" si="3"/>
        <v>0.0203329342</v>
      </c>
      <c r="H55" s="25">
        <v>0.059</v>
      </c>
      <c r="I55" s="33">
        <f t="shared" si="4"/>
        <v>-0.002</v>
      </c>
      <c r="J55" s="47">
        <v>34.8</v>
      </c>
      <c r="K55" s="23">
        <f t="shared" si="7"/>
        <v>0</v>
      </c>
      <c r="L55" s="26">
        <v>98825.0</v>
      </c>
      <c r="M55" s="34">
        <f t="shared" si="5"/>
        <v>0.02893405243</v>
      </c>
      <c r="N55" s="22">
        <v>1821.0</v>
      </c>
      <c r="O55" s="34">
        <f t="shared" si="6"/>
        <v>0.01800089445</v>
      </c>
      <c r="P55" s="28"/>
      <c r="Q55" s="29"/>
      <c r="R55" s="14"/>
      <c r="S55" s="35"/>
      <c r="T55" s="12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</row>
    <row r="56">
      <c r="A56" s="21">
        <v>29221.0</v>
      </c>
      <c r="B56" s="22">
        <v>7257.316</v>
      </c>
      <c r="C56" s="30">
        <f t="shared" si="1"/>
        <v>-0.002567757362</v>
      </c>
      <c r="D56" s="24">
        <v>4497.204</v>
      </c>
      <c r="E56" s="31">
        <f t="shared" si="2"/>
        <v>-0.003121946548</v>
      </c>
      <c r="F56" s="24">
        <v>31938.94</v>
      </c>
      <c r="G56" s="32">
        <f t="shared" si="3"/>
        <v>-0.01208977476</v>
      </c>
      <c r="H56" s="25">
        <v>0.072</v>
      </c>
      <c r="I56" s="33">
        <f t="shared" si="4"/>
        <v>0.013</v>
      </c>
      <c r="J56" s="47">
        <v>34.7</v>
      </c>
      <c r="K56" s="23">
        <f t="shared" si="7"/>
        <v>-0.1</v>
      </c>
      <c r="L56" s="26">
        <v>99303.0</v>
      </c>
      <c r="M56" s="34">
        <f t="shared" si="5"/>
        <v>0.004836832785</v>
      </c>
      <c r="N56" s="22">
        <v>1853.9</v>
      </c>
      <c r="O56" s="34">
        <f t="shared" si="6"/>
        <v>0.01806699616</v>
      </c>
      <c r="P56" s="28"/>
      <c r="Q56" s="29"/>
      <c r="R56" s="14"/>
      <c r="S56" s="35"/>
      <c r="T56" s="12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</row>
    <row r="57">
      <c r="A57" s="21">
        <v>29587.0</v>
      </c>
      <c r="B57" s="22">
        <v>7441.485</v>
      </c>
      <c r="C57" s="30">
        <f t="shared" si="1"/>
        <v>0.02537701266</v>
      </c>
      <c r="D57" s="24">
        <v>4559.562</v>
      </c>
      <c r="E57" s="31">
        <f t="shared" si="2"/>
        <v>0.01386594871</v>
      </c>
      <c r="F57" s="24">
        <v>32429.62</v>
      </c>
      <c r="G57" s="32">
        <f t="shared" si="3"/>
        <v>0.01536306465</v>
      </c>
      <c r="H57" s="25">
        <v>0.076</v>
      </c>
      <c r="I57" s="33">
        <f t="shared" si="4"/>
        <v>0.004</v>
      </c>
      <c r="J57" s="47">
        <v>35.5</v>
      </c>
      <c r="K57" s="23">
        <f t="shared" si="7"/>
        <v>0.8</v>
      </c>
      <c r="L57" s="26">
        <v>100400.0</v>
      </c>
      <c r="M57" s="34">
        <f t="shared" si="5"/>
        <v>0.01104699757</v>
      </c>
      <c r="N57" s="22">
        <v>1871.9</v>
      </c>
      <c r="O57" s="34">
        <f t="shared" si="6"/>
        <v>0.009709261557</v>
      </c>
      <c r="P57" s="28"/>
      <c r="Q57" s="29"/>
      <c r="R57" s="14"/>
      <c r="S57" s="35"/>
      <c r="T57" s="12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</row>
    <row r="58">
      <c r="A58" s="21">
        <v>29952.0</v>
      </c>
      <c r="B58" s="22">
        <v>7307.314</v>
      </c>
      <c r="C58" s="30">
        <f t="shared" si="1"/>
        <v>-0.0180301378</v>
      </c>
      <c r="D58" s="24">
        <v>4626.306</v>
      </c>
      <c r="E58" s="31">
        <f t="shared" si="2"/>
        <v>0.01463824815</v>
      </c>
      <c r="F58" s="24">
        <v>31542.66</v>
      </c>
      <c r="G58" s="32">
        <f t="shared" si="3"/>
        <v>-0.02735030506</v>
      </c>
      <c r="H58" s="25">
        <v>0.0969999999999999</v>
      </c>
      <c r="I58" s="33">
        <f t="shared" si="4"/>
        <v>0.021</v>
      </c>
      <c r="J58" s="47">
        <v>36.7</v>
      </c>
      <c r="K58" s="23">
        <f t="shared" si="7"/>
        <v>1.2</v>
      </c>
      <c r="L58" s="26">
        <v>99529.0</v>
      </c>
      <c r="M58" s="34">
        <f t="shared" si="5"/>
        <v>-0.008675298805</v>
      </c>
      <c r="N58" s="22">
        <v>1905.5</v>
      </c>
      <c r="O58" s="34">
        <f t="shared" si="6"/>
        <v>0.0179496768</v>
      </c>
      <c r="P58" s="28"/>
      <c r="Q58" s="29"/>
      <c r="R58" s="14"/>
      <c r="S58" s="35"/>
      <c r="T58" s="12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</row>
    <row r="59">
      <c r="A59" s="21">
        <v>30317.0</v>
      </c>
      <c r="B59" s="22">
        <v>7642.266</v>
      </c>
      <c r="C59" s="30">
        <f t="shared" si="1"/>
        <v>0.0458379098</v>
      </c>
      <c r="D59" s="24">
        <v>4888.205</v>
      </c>
      <c r="E59" s="31">
        <f t="shared" si="2"/>
        <v>0.05661082514</v>
      </c>
      <c r="F59" s="24">
        <v>32688.31</v>
      </c>
      <c r="G59" s="32">
        <f t="shared" si="3"/>
        <v>0.03632065273</v>
      </c>
      <c r="H59" s="25">
        <v>0.096</v>
      </c>
      <c r="I59" s="33">
        <f t="shared" si="4"/>
        <v>-0.001</v>
      </c>
      <c r="J59" s="47">
        <v>37.3</v>
      </c>
      <c r="K59" s="23">
        <f t="shared" si="7"/>
        <v>0.6</v>
      </c>
      <c r="L59" s="26">
        <v>100822.0</v>
      </c>
      <c r="M59" s="34">
        <f t="shared" si="5"/>
        <v>0.0129911885</v>
      </c>
      <c r="N59" s="22">
        <v>1976.6</v>
      </c>
      <c r="O59" s="34">
        <f t="shared" si="6"/>
        <v>0.0373130412</v>
      </c>
      <c r="P59" s="28"/>
      <c r="Q59" s="29"/>
      <c r="R59" s="14"/>
      <c r="S59" s="35"/>
      <c r="T59" s="12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</row>
    <row r="60">
      <c r="A60" s="21">
        <v>30682.0</v>
      </c>
      <c r="B60" s="22">
        <v>8195.295</v>
      </c>
      <c r="C60" s="30">
        <f t="shared" si="1"/>
        <v>0.07236453167</v>
      </c>
      <c r="D60" s="24">
        <v>5145.362</v>
      </c>
      <c r="E60" s="31">
        <f t="shared" si="2"/>
        <v>0.05260765455</v>
      </c>
      <c r="F60" s="24">
        <v>34751.61</v>
      </c>
      <c r="G60" s="32">
        <f t="shared" si="3"/>
        <v>0.0631204244</v>
      </c>
      <c r="H60" s="25">
        <v>0.075</v>
      </c>
      <c r="I60" s="33">
        <f t="shared" si="4"/>
        <v>-0.021</v>
      </c>
      <c r="J60" s="47">
        <v>37.3</v>
      </c>
      <c r="K60" s="23">
        <f t="shared" si="7"/>
        <v>0</v>
      </c>
      <c r="L60" s="26">
        <v>105003.0</v>
      </c>
      <c r="M60" s="34">
        <f t="shared" si="5"/>
        <v>0.0414691238</v>
      </c>
      <c r="N60" s="22">
        <v>2046.0</v>
      </c>
      <c r="O60" s="34">
        <f t="shared" si="6"/>
        <v>0.03511079632</v>
      </c>
      <c r="P60" s="28"/>
      <c r="Q60" s="29"/>
      <c r="R60" s="14"/>
      <c r="S60" s="35"/>
      <c r="T60" s="12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</row>
    <row r="61">
      <c r="A61" s="21">
        <v>31048.0</v>
      </c>
      <c r="B61" s="22">
        <v>8537.004</v>
      </c>
      <c r="C61" s="30">
        <f t="shared" si="1"/>
        <v>0.04169575348</v>
      </c>
      <c r="D61" s="24">
        <v>5411.763</v>
      </c>
      <c r="E61" s="31">
        <f t="shared" si="2"/>
        <v>0.05177497715</v>
      </c>
      <c r="F61" s="24">
        <v>35881.25</v>
      </c>
      <c r="G61" s="32">
        <f t="shared" si="3"/>
        <v>0.03250611986</v>
      </c>
      <c r="H61" s="25">
        <v>0.072</v>
      </c>
      <c r="I61" s="33">
        <f t="shared" si="4"/>
        <v>-0.003</v>
      </c>
      <c r="J61" s="47">
        <v>37.6</v>
      </c>
      <c r="K61" s="23">
        <f t="shared" si="7"/>
        <v>0.3</v>
      </c>
      <c r="L61" s="26">
        <v>107154.0</v>
      </c>
      <c r="M61" s="34">
        <f t="shared" si="5"/>
        <v>0.020485129</v>
      </c>
      <c r="N61" s="22">
        <v>2182.6</v>
      </c>
      <c r="O61" s="34">
        <f t="shared" si="6"/>
        <v>0.06676441838</v>
      </c>
      <c r="P61" s="28"/>
      <c r="Q61" s="29"/>
      <c r="R61" s="14"/>
      <c r="S61" s="35"/>
      <c r="T61" s="12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</row>
    <row r="62">
      <c r="A62" s="21">
        <v>31413.0</v>
      </c>
      <c r="B62" s="22">
        <v>8832.611</v>
      </c>
      <c r="C62" s="30">
        <f t="shared" si="1"/>
        <v>0.03462655049</v>
      </c>
      <c r="D62" s="24">
        <v>5635.167</v>
      </c>
      <c r="E62" s="31">
        <f t="shared" si="2"/>
        <v>0.04128118693</v>
      </c>
      <c r="F62" s="24">
        <v>36782.18</v>
      </c>
      <c r="G62" s="32">
        <f t="shared" si="3"/>
        <v>0.02510865703</v>
      </c>
      <c r="H62" s="25">
        <v>0.07</v>
      </c>
      <c r="I62" s="33">
        <f t="shared" si="4"/>
        <v>-0.002</v>
      </c>
      <c r="J62" s="47">
        <v>37.6</v>
      </c>
      <c r="K62" s="23">
        <f t="shared" si="7"/>
        <v>0</v>
      </c>
      <c r="L62" s="26">
        <v>109601.0</v>
      </c>
      <c r="M62" s="34">
        <f t="shared" si="5"/>
        <v>0.02283629169</v>
      </c>
      <c r="N62" s="22">
        <v>2301.1</v>
      </c>
      <c r="O62" s="34">
        <f t="shared" si="6"/>
        <v>0.05429304499</v>
      </c>
      <c r="P62" s="28"/>
      <c r="Q62" s="29"/>
      <c r="R62" s="14"/>
      <c r="S62" s="35"/>
      <c r="T62" s="12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</row>
    <row r="63">
      <c r="A63" s="21">
        <v>31778.0</v>
      </c>
      <c r="B63" s="22">
        <v>9137.745</v>
      </c>
      <c r="C63" s="30">
        <f t="shared" si="1"/>
        <v>0.03454629667</v>
      </c>
      <c r="D63" s="24">
        <v>5826.077</v>
      </c>
      <c r="E63" s="31">
        <f t="shared" si="2"/>
        <v>0.03387832162</v>
      </c>
      <c r="F63" s="24">
        <v>37714.25</v>
      </c>
      <c r="G63" s="32">
        <f t="shared" si="3"/>
        <v>0.02534025988</v>
      </c>
      <c r="H63" s="25">
        <v>0.062</v>
      </c>
      <c r="I63" s="33">
        <f t="shared" si="4"/>
        <v>-0.008</v>
      </c>
      <c r="J63" s="47">
        <v>37.2</v>
      </c>
      <c r="K63" s="23">
        <f t="shared" si="7"/>
        <v>-0.4</v>
      </c>
      <c r="L63" s="26">
        <v>112439.0</v>
      </c>
      <c r="M63" s="34">
        <f t="shared" si="5"/>
        <v>0.02589392433</v>
      </c>
      <c r="N63" s="22">
        <v>2367.9</v>
      </c>
      <c r="O63" s="34">
        <f t="shared" si="6"/>
        <v>0.02902959454</v>
      </c>
      <c r="P63" s="28"/>
      <c r="Q63" s="29"/>
      <c r="R63" s="14"/>
      <c r="S63" s="35"/>
      <c r="T63" s="12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</row>
    <row r="64">
      <c r="A64" s="21">
        <v>32143.0</v>
      </c>
      <c r="B64" s="22">
        <v>9519.427</v>
      </c>
      <c r="C64" s="30">
        <f t="shared" si="1"/>
        <v>0.04176982396</v>
      </c>
      <c r="D64" s="24">
        <v>6069.426</v>
      </c>
      <c r="E64" s="31">
        <f t="shared" si="2"/>
        <v>0.04176892959</v>
      </c>
      <c r="F64" s="24">
        <v>38934.42</v>
      </c>
      <c r="G64" s="32">
        <f t="shared" si="3"/>
        <v>0.03235302306</v>
      </c>
      <c r="H64" s="25">
        <v>0.055</v>
      </c>
      <c r="I64" s="33">
        <f t="shared" si="4"/>
        <v>-0.007</v>
      </c>
      <c r="J64" s="47">
        <v>37.7</v>
      </c>
      <c r="K64" s="23">
        <f t="shared" si="7"/>
        <v>0.5</v>
      </c>
      <c r="L64" s="26">
        <v>114974.0</v>
      </c>
      <c r="M64" s="34">
        <f t="shared" si="5"/>
        <v>0.02254555804</v>
      </c>
      <c r="N64" s="22">
        <v>2397.2</v>
      </c>
      <c r="O64" s="34">
        <f t="shared" si="6"/>
        <v>0.01237383335</v>
      </c>
      <c r="P64" s="28"/>
      <c r="Q64" s="29"/>
      <c r="R64" s="14"/>
      <c r="S64" s="35"/>
      <c r="T64" s="12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</row>
    <row r="65">
      <c r="A65" s="21">
        <v>32509.0</v>
      </c>
      <c r="B65" s="22">
        <v>9869.003</v>
      </c>
      <c r="C65" s="30">
        <f t="shared" si="1"/>
        <v>0.03672237835</v>
      </c>
      <c r="D65" s="24">
        <v>6246.386</v>
      </c>
      <c r="E65" s="31">
        <f t="shared" si="2"/>
        <v>0.02915596961</v>
      </c>
      <c r="F65" s="24">
        <v>39984.74</v>
      </c>
      <c r="G65" s="32">
        <f t="shared" si="3"/>
        <v>0.02697664432</v>
      </c>
      <c r="H65" s="25">
        <v>0.053</v>
      </c>
      <c r="I65" s="33">
        <f t="shared" si="4"/>
        <v>-0.002</v>
      </c>
      <c r="J65" s="47">
        <v>38.2</v>
      </c>
      <c r="K65" s="23">
        <f t="shared" si="7"/>
        <v>0.5</v>
      </c>
      <c r="L65" s="26">
        <v>117327.0</v>
      </c>
      <c r="M65" s="34">
        <f t="shared" si="5"/>
        <v>0.02046549655</v>
      </c>
      <c r="N65" s="22">
        <v>2465.3</v>
      </c>
      <c r="O65" s="34">
        <f t="shared" si="6"/>
        <v>0.02840814283</v>
      </c>
      <c r="P65" s="28"/>
      <c r="Q65" s="29"/>
      <c r="R65" s="14"/>
      <c r="S65" s="35"/>
      <c r="T65" s="12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</row>
    <row r="66">
      <c r="A66" s="44">
        <v>32874.0</v>
      </c>
      <c r="B66" s="45">
        <v>10055.129</v>
      </c>
      <c r="C66" s="30">
        <f t="shared" si="1"/>
        <v>0.01885965583</v>
      </c>
      <c r="D66" s="46">
        <v>6372.193</v>
      </c>
      <c r="E66" s="31">
        <f t="shared" si="2"/>
        <v>0.0201407662</v>
      </c>
      <c r="F66" s="24">
        <v>40306.87</v>
      </c>
      <c r="G66" s="32">
        <f t="shared" si="3"/>
        <v>0.008056323487</v>
      </c>
      <c r="H66" s="25">
        <v>0.0559999999999999</v>
      </c>
      <c r="I66" s="33">
        <f t="shared" si="4"/>
        <v>0.003</v>
      </c>
      <c r="J66" s="50">
        <v>38.3</v>
      </c>
      <c r="K66" s="23">
        <f t="shared" si="7"/>
        <v>0.1</v>
      </c>
      <c r="L66" s="42">
        <v>118796.0</v>
      </c>
      <c r="M66" s="34">
        <f t="shared" si="5"/>
        <v>0.01252056219</v>
      </c>
      <c r="N66" s="43">
        <v>2544.2</v>
      </c>
      <c r="O66" s="34">
        <f t="shared" si="6"/>
        <v>0.03200421855</v>
      </c>
      <c r="P66" s="28"/>
      <c r="Q66" s="29"/>
      <c r="R66" s="14"/>
      <c r="S66" s="35"/>
      <c r="T66" s="12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</row>
    <row r="67">
      <c r="A67" s="44">
        <v>33239.0</v>
      </c>
      <c r="B67" s="45">
        <v>10044.238</v>
      </c>
      <c r="C67" s="30">
        <f t="shared" si="1"/>
        <v>-0.001083128819</v>
      </c>
      <c r="D67" s="46">
        <v>6383.696</v>
      </c>
      <c r="E67" s="31">
        <f t="shared" si="2"/>
        <v>0.001805187005</v>
      </c>
      <c r="F67" s="24">
        <v>39833.89</v>
      </c>
      <c r="G67" s="32">
        <f t="shared" si="3"/>
        <v>-0.01173447603</v>
      </c>
      <c r="H67" s="25">
        <v>0.069</v>
      </c>
      <c r="I67" s="33">
        <f t="shared" si="4"/>
        <v>0.013</v>
      </c>
      <c r="J67" s="50">
        <v>38.0</v>
      </c>
      <c r="K67" s="23">
        <f t="shared" si="7"/>
        <v>-0.3</v>
      </c>
      <c r="L67" s="42">
        <v>117713.0</v>
      </c>
      <c r="M67" s="34">
        <f t="shared" si="5"/>
        <v>-0.009116468568</v>
      </c>
      <c r="N67" s="43">
        <v>2574.7</v>
      </c>
      <c r="O67" s="34">
        <f t="shared" si="6"/>
        <v>0.01198805125</v>
      </c>
      <c r="P67" s="28"/>
      <c r="Q67" s="29"/>
      <c r="R67" s="14"/>
      <c r="S67" s="35"/>
      <c r="T67" s="12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</row>
    <row r="68">
      <c r="A68" s="21">
        <v>33604.0</v>
      </c>
      <c r="B68" s="22">
        <v>10398.046</v>
      </c>
      <c r="C68" s="30">
        <f t="shared" si="1"/>
        <v>0.03522497177</v>
      </c>
      <c r="D68" s="24">
        <v>6618.62</v>
      </c>
      <c r="E68" s="31">
        <f t="shared" si="2"/>
        <v>0.03680062459</v>
      </c>
      <c r="F68" s="24">
        <v>40771.9</v>
      </c>
      <c r="G68" s="32">
        <f t="shared" si="3"/>
        <v>0.02354803912</v>
      </c>
      <c r="H68" s="25">
        <v>0.075</v>
      </c>
      <c r="I68" s="33">
        <f t="shared" si="4"/>
        <v>0.006</v>
      </c>
      <c r="J68" s="47">
        <v>38.4</v>
      </c>
      <c r="K68" s="23">
        <f t="shared" si="7"/>
        <v>0.4</v>
      </c>
      <c r="L68" s="26">
        <v>118488.0</v>
      </c>
      <c r="M68" s="34">
        <f t="shared" si="5"/>
        <v>0.006583809775</v>
      </c>
      <c r="N68" s="22">
        <v>2586.7</v>
      </c>
      <c r="O68" s="34">
        <f t="shared" si="6"/>
        <v>0.004660737173</v>
      </c>
      <c r="P68" s="28"/>
      <c r="Q68" s="29"/>
      <c r="R68" s="14"/>
      <c r="S68" s="35"/>
      <c r="T68" s="12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</row>
    <row r="69">
      <c r="A69" s="21">
        <v>33970.0</v>
      </c>
      <c r="B69" s="22">
        <v>10684.179</v>
      </c>
      <c r="C69" s="30">
        <f t="shared" si="1"/>
        <v>0.02751795866</v>
      </c>
      <c r="D69" s="24">
        <v>6849.19</v>
      </c>
      <c r="E69" s="31">
        <f t="shared" si="2"/>
        <v>0.03483656714</v>
      </c>
      <c r="F69" s="24">
        <v>41446.47</v>
      </c>
      <c r="G69" s="32">
        <f t="shared" si="3"/>
        <v>0.01654497338</v>
      </c>
      <c r="H69" s="25">
        <v>0.069</v>
      </c>
      <c r="I69" s="33">
        <f t="shared" si="4"/>
        <v>-0.006</v>
      </c>
      <c r="J69" s="47">
        <v>40.4</v>
      </c>
      <c r="K69" s="23">
        <f t="shared" si="7"/>
        <v>2</v>
      </c>
      <c r="L69" s="26">
        <v>120259.0</v>
      </c>
      <c r="M69" s="34">
        <f t="shared" si="5"/>
        <v>0.01494666127</v>
      </c>
      <c r="N69" s="22">
        <v>2565.5</v>
      </c>
      <c r="O69" s="34">
        <f t="shared" si="6"/>
        <v>-0.008195770673</v>
      </c>
      <c r="P69" s="28"/>
      <c r="Q69" s="29"/>
      <c r="R69" s="14"/>
      <c r="S69" s="35"/>
      <c r="T69" s="12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</row>
    <row r="70">
      <c r="A70" s="21">
        <v>34335.0</v>
      </c>
      <c r="B70" s="22">
        <v>11114.647</v>
      </c>
      <c r="C70" s="30">
        <f t="shared" si="1"/>
        <v>0.04029022726</v>
      </c>
      <c r="D70" s="24">
        <v>7114.549</v>
      </c>
      <c r="E70" s="31">
        <f t="shared" si="2"/>
        <v>0.03874312145</v>
      </c>
      <c r="F70" s="24">
        <v>42694.94</v>
      </c>
      <c r="G70" s="32">
        <f t="shared" si="3"/>
        <v>0.03012246881</v>
      </c>
      <c r="H70" s="25">
        <v>0.061</v>
      </c>
      <c r="I70" s="33">
        <f t="shared" si="4"/>
        <v>-0.008</v>
      </c>
      <c r="J70" s="47">
        <v>40.0</v>
      </c>
      <c r="K70" s="23">
        <f t="shared" si="7"/>
        <v>-0.4</v>
      </c>
      <c r="L70" s="26">
        <v>123071.0</v>
      </c>
      <c r="M70" s="34">
        <f t="shared" si="5"/>
        <v>0.02338286532</v>
      </c>
      <c r="N70" s="22">
        <v>2567.7</v>
      </c>
      <c r="O70" s="34">
        <f t="shared" si="6"/>
        <v>0.0008575326447</v>
      </c>
      <c r="P70" s="28"/>
      <c r="Q70" s="29"/>
      <c r="R70" s="14"/>
      <c r="S70" s="35"/>
      <c r="T70" s="12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</row>
    <row r="71">
      <c r="A71" s="21">
        <v>34700.0</v>
      </c>
      <c r="B71" s="22">
        <v>11413.012</v>
      </c>
      <c r="C71" s="30">
        <f t="shared" si="1"/>
        <v>0.02684430734</v>
      </c>
      <c r="D71" s="24">
        <v>7324.465</v>
      </c>
      <c r="E71" s="31">
        <f t="shared" si="2"/>
        <v>0.02950517313</v>
      </c>
      <c r="F71" s="24">
        <v>43427.97</v>
      </c>
      <c r="G71" s="32">
        <f t="shared" si="3"/>
        <v>0.01716901347</v>
      </c>
      <c r="H71" s="25">
        <v>0.0559999999999999</v>
      </c>
      <c r="I71" s="33">
        <f t="shared" si="4"/>
        <v>-0.005</v>
      </c>
      <c r="J71" s="47">
        <v>39.9</v>
      </c>
      <c r="K71" s="23">
        <f t="shared" si="7"/>
        <v>-0.1</v>
      </c>
      <c r="L71" s="26">
        <v>124908.0</v>
      </c>
      <c r="M71" s="34">
        <f t="shared" si="5"/>
        <v>0.01492634333</v>
      </c>
      <c r="N71" s="22">
        <v>2580.8</v>
      </c>
      <c r="O71" s="34">
        <f t="shared" si="6"/>
        <v>0.005101842116</v>
      </c>
      <c r="P71" s="28"/>
      <c r="Q71" s="29"/>
      <c r="R71" s="14"/>
      <c r="S71" s="35"/>
      <c r="T71" s="12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</row>
    <row r="72">
      <c r="A72" s="21">
        <v>35065.0</v>
      </c>
      <c r="B72" s="22">
        <v>11843.599</v>
      </c>
      <c r="C72" s="30">
        <f t="shared" si="1"/>
        <v>0.03772772691</v>
      </c>
      <c r="D72" s="24">
        <v>7578.618</v>
      </c>
      <c r="E72" s="31">
        <f t="shared" si="2"/>
        <v>0.03469918963</v>
      </c>
      <c r="F72" s="24">
        <v>44654.31</v>
      </c>
      <c r="G72" s="32">
        <f t="shared" si="3"/>
        <v>0.02823848317</v>
      </c>
      <c r="H72" s="25">
        <v>0.054</v>
      </c>
      <c r="I72" s="33">
        <f t="shared" si="4"/>
        <v>-0.002</v>
      </c>
      <c r="J72" s="47">
        <v>40.3</v>
      </c>
      <c r="K72" s="23">
        <f t="shared" si="7"/>
        <v>0.4</v>
      </c>
      <c r="L72" s="26">
        <v>126720.0</v>
      </c>
      <c r="M72" s="34">
        <f t="shared" si="5"/>
        <v>0.01450667691</v>
      </c>
      <c r="N72" s="22">
        <v>2604.7</v>
      </c>
      <c r="O72" s="34">
        <f t="shared" si="6"/>
        <v>0.009260694358</v>
      </c>
      <c r="P72" s="28"/>
      <c r="Q72" s="29"/>
      <c r="R72" s="14"/>
      <c r="S72" s="35"/>
      <c r="T72" s="12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</row>
    <row r="73">
      <c r="A73" s="21">
        <v>35431.0</v>
      </c>
      <c r="B73" s="22">
        <v>12370.299</v>
      </c>
      <c r="C73" s="30">
        <f t="shared" si="1"/>
        <v>0.04447127938</v>
      </c>
      <c r="D73" s="24">
        <v>7863.991</v>
      </c>
      <c r="E73" s="31">
        <f t="shared" si="2"/>
        <v>0.03765501837</v>
      </c>
      <c r="F73" s="24">
        <v>46195.13</v>
      </c>
      <c r="G73" s="32">
        <f t="shared" si="3"/>
        <v>0.03450551582</v>
      </c>
      <c r="H73" s="25">
        <v>0.049</v>
      </c>
      <c r="I73" s="33">
        <f t="shared" si="4"/>
        <v>-0.005</v>
      </c>
      <c r="J73" s="47">
        <v>40.5</v>
      </c>
      <c r="K73" s="23">
        <f t="shared" si="7"/>
        <v>0.2</v>
      </c>
      <c r="L73" s="26">
        <v>129572.0</v>
      </c>
      <c r="M73" s="34">
        <f t="shared" si="5"/>
        <v>0.02250631313</v>
      </c>
      <c r="N73" s="22">
        <v>2647.4</v>
      </c>
      <c r="O73" s="34">
        <f t="shared" si="6"/>
        <v>0.01639344262</v>
      </c>
      <c r="P73" s="28"/>
      <c r="Q73" s="29"/>
      <c r="R73" s="14"/>
      <c r="S73" s="35"/>
      <c r="T73" s="12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</row>
    <row r="74">
      <c r="A74" s="21">
        <v>35796.0</v>
      </c>
      <c r="B74" s="22">
        <v>12924.876</v>
      </c>
      <c r="C74" s="30">
        <f t="shared" si="1"/>
        <v>0.0448313335</v>
      </c>
      <c r="D74" s="24">
        <v>8281.653</v>
      </c>
      <c r="E74" s="31">
        <f t="shared" si="2"/>
        <v>0.05311069151</v>
      </c>
      <c r="F74" s="24">
        <v>47825.98</v>
      </c>
      <c r="G74" s="32">
        <f t="shared" si="3"/>
        <v>0.03530350494</v>
      </c>
      <c r="H74" s="25">
        <v>0.045</v>
      </c>
      <c r="I74" s="33">
        <f t="shared" si="4"/>
        <v>-0.004</v>
      </c>
      <c r="J74" s="47">
        <v>40.0</v>
      </c>
      <c r="K74" s="23">
        <f t="shared" si="7"/>
        <v>-0.5</v>
      </c>
      <c r="L74" s="26">
        <v>131476.0</v>
      </c>
      <c r="M74" s="34">
        <f t="shared" si="5"/>
        <v>0.01469453277</v>
      </c>
      <c r="N74" s="22">
        <v>2711.6</v>
      </c>
      <c r="O74" s="34">
        <f t="shared" si="6"/>
        <v>0.02425020775</v>
      </c>
      <c r="P74" s="28"/>
      <c r="Q74" s="29"/>
      <c r="R74" s="14"/>
      <c r="S74" s="35"/>
      <c r="T74" s="12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</row>
    <row r="75">
      <c r="A75" s="21">
        <v>36161.0</v>
      </c>
      <c r="B75" s="22">
        <v>13543.774</v>
      </c>
      <c r="C75" s="30">
        <f t="shared" si="1"/>
        <v>0.04788425049</v>
      </c>
      <c r="D75" s="24">
        <v>8727.297</v>
      </c>
      <c r="E75" s="31">
        <f t="shared" si="2"/>
        <v>0.05381099643</v>
      </c>
      <c r="F75" s="24">
        <v>49667.14</v>
      </c>
      <c r="G75" s="32">
        <f t="shared" si="3"/>
        <v>0.03849706791</v>
      </c>
      <c r="H75" s="25">
        <v>0.042</v>
      </c>
      <c r="I75" s="33">
        <f t="shared" si="4"/>
        <v>-0.003</v>
      </c>
      <c r="J75" s="47">
        <v>40.0</v>
      </c>
      <c r="K75" s="23">
        <f t="shared" si="7"/>
        <v>0</v>
      </c>
      <c r="L75" s="26">
        <v>133501.0</v>
      </c>
      <c r="M75" s="34">
        <f t="shared" si="5"/>
        <v>0.01540205056</v>
      </c>
      <c r="N75" s="22">
        <v>2800.2</v>
      </c>
      <c r="O75" s="34">
        <f t="shared" si="6"/>
        <v>0.03267443576</v>
      </c>
      <c r="P75" s="28"/>
      <c r="Q75" s="29"/>
      <c r="R75" s="14"/>
      <c r="S75" s="35"/>
      <c r="T75" s="12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</row>
    <row r="76">
      <c r="A76" s="21">
        <v>36526.0</v>
      </c>
      <c r="B76" s="22">
        <v>14096.033</v>
      </c>
      <c r="C76" s="30">
        <f t="shared" si="1"/>
        <v>0.0407758576</v>
      </c>
      <c r="D76" s="24">
        <v>9166.879</v>
      </c>
      <c r="E76" s="31">
        <f t="shared" si="2"/>
        <v>0.05036863075</v>
      </c>
      <c r="F76" s="24">
        <v>49955.47</v>
      </c>
      <c r="G76" s="32">
        <f t="shared" si="3"/>
        <v>0.005805246688</v>
      </c>
      <c r="H76" s="25">
        <v>0.04</v>
      </c>
      <c r="I76" s="33">
        <f t="shared" si="4"/>
        <v>-0.002</v>
      </c>
      <c r="J76" s="47">
        <v>40.1</v>
      </c>
      <c r="K76" s="23">
        <f t="shared" si="7"/>
        <v>0.1</v>
      </c>
      <c r="L76" s="26">
        <v>136901.0</v>
      </c>
      <c r="M76" s="34">
        <f t="shared" si="5"/>
        <v>0.02546797402</v>
      </c>
      <c r="N76" s="22">
        <v>2851.2</v>
      </c>
      <c r="O76" s="34">
        <f t="shared" si="6"/>
        <v>0.01821298479</v>
      </c>
      <c r="P76" s="28"/>
      <c r="Q76" s="29"/>
      <c r="R76" s="14"/>
      <c r="S76" s="35"/>
      <c r="T76" s="12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</row>
    <row r="77">
      <c r="A77" s="21">
        <v>36892.0</v>
      </c>
      <c r="B77" s="22">
        <v>14230.726</v>
      </c>
      <c r="C77" s="30">
        <f t="shared" si="1"/>
        <v>0.009555383419</v>
      </c>
      <c r="D77" s="24">
        <v>9393.886</v>
      </c>
      <c r="E77" s="31">
        <f t="shared" si="2"/>
        <v>0.02476382638</v>
      </c>
      <c r="F77" s="24">
        <v>49918.09</v>
      </c>
      <c r="G77" s="32">
        <f t="shared" si="3"/>
        <v>-0.0007482664061</v>
      </c>
      <c r="H77" s="25">
        <v>0.047</v>
      </c>
      <c r="I77" s="33">
        <f t="shared" si="4"/>
        <v>0.007</v>
      </c>
      <c r="J77" s="47">
        <v>40.6</v>
      </c>
      <c r="K77" s="23">
        <f t="shared" si="7"/>
        <v>0.5</v>
      </c>
      <c r="L77" s="26">
        <v>136939.0</v>
      </c>
      <c r="M77" s="34">
        <f t="shared" si="5"/>
        <v>0.0002775728446</v>
      </c>
      <c r="N77" s="22">
        <v>2958.7</v>
      </c>
      <c r="O77" s="34">
        <f t="shared" si="6"/>
        <v>0.03770342312</v>
      </c>
      <c r="P77" s="28"/>
      <c r="Q77" s="29"/>
      <c r="R77" s="14"/>
      <c r="S77" s="35"/>
      <c r="T77" s="12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</row>
    <row r="78">
      <c r="A78" s="21">
        <v>37257.0</v>
      </c>
      <c r="B78" s="22">
        <v>14472.712</v>
      </c>
      <c r="C78" s="30">
        <f t="shared" si="1"/>
        <v>0.01700447328</v>
      </c>
      <c r="D78" s="24">
        <v>9632.767</v>
      </c>
      <c r="E78" s="31">
        <f t="shared" si="2"/>
        <v>0.02542941228</v>
      </c>
      <c r="F78" s="24">
        <v>50286.71</v>
      </c>
      <c r="G78" s="32">
        <f t="shared" si="3"/>
        <v>0.007384497283</v>
      </c>
      <c r="H78" s="25">
        <v>0.0579999999999999</v>
      </c>
      <c r="I78" s="33">
        <f t="shared" si="4"/>
        <v>0.011</v>
      </c>
      <c r="J78" s="47">
        <v>40.4</v>
      </c>
      <c r="K78" s="23">
        <f t="shared" si="7"/>
        <v>-0.2</v>
      </c>
      <c r="L78" s="26">
        <v>136481.0</v>
      </c>
      <c r="M78" s="34">
        <f t="shared" si="5"/>
        <v>-0.003344554875</v>
      </c>
      <c r="N78" s="22">
        <v>3090.5</v>
      </c>
      <c r="O78" s="34">
        <f t="shared" si="6"/>
        <v>0.04454659141</v>
      </c>
      <c r="P78" s="28"/>
      <c r="Q78" s="29"/>
      <c r="R78" s="14"/>
      <c r="S78" s="35"/>
      <c r="T78" s="12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</row>
    <row r="79">
      <c r="A79" s="44">
        <v>37622.0</v>
      </c>
      <c r="B79" s="45">
        <v>14877.312</v>
      </c>
      <c r="C79" s="30">
        <f t="shared" si="1"/>
        <v>0.02795605965</v>
      </c>
      <c r="D79" s="46">
        <v>9937.568</v>
      </c>
      <c r="E79" s="31">
        <f t="shared" si="2"/>
        <v>0.03164210242</v>
      </c>
      <c r="F79" s="46">
        <v>51243.4</v>
      </c>
      <c r="G79" s="32">
        <f t="shared" si="3"/>
        <v>0.01902470852</v>
      </c>
      <c r="H79" s="51">
        <v>0.06</v>
      </c>
      <c r="I79" s="33">
        <f t="shared" si="4"/>
        <v>0.002</v>
      </c>
      <c r="J79" s="50">
        <v>40.8</v>
      </c>
      <c r="K79" s="23">
        <f t="shared" si="7"/>
        <v>0.4</v>
      </c>
      <c r="L79" s="49">
        <v>137729.0</v>
      </c>
      <c r="M79" s="34">
        <f t="shared" si="5"/>
        <v>0.009144129952</v>
      </c>
      <c r="N79" s="43">
        <v>3153.9</v>
      </c>
      <c r="O79" s="34">
        <f t="shared" si="6"/>
        <v>0.02051447986</v>
      </c>
      <c r="P79" s="28"/>
      <c r="Q79" s="29"/>
      <c r="R79" s="14"/>
      <c r="S79" s="35"/>
      <c r="T79" s="12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</row>
    <row r="80">
      <c r="A80" s="44">
        <v>37987.0</v>
      </c>
      <c r="B80" s="45">
        <v>15449.757</v>
      </c>
      <c r="C80" s="30">
        <f t="shared" si="1"/>
        <v>0.03847771694</v>
      </c>
      <c r="D80" s="46">
        <v>10312.214</v>
      </c>
      <c r="E80" s="31">
        <f t="shared" si="2"/>
        <v>0.03769996844</v>
      </c>
      <c r="F80" s="46">
        <v>52721.32</v>
      </c>
      <c r="G80" s="32">
        <f t="shared" si="3"/>
        <v>0.0288411776</v>
      </c>
      <c r="H80" s="51">
        <v>0.055</v>
      </c>
      <c r="I80" s="33">
        <f t="shared" si="4"/>
        <v>-0.005</v>
      </c>
      <c r="J80" s="50">
        <v>40.5</v>
      </c>
      <c r="K80" s="23">
        <f t="shared" si="7"/>
        <v>-0.3</v>
      </c>
      <c r="L80" s="49">
        <v>139240.0</v>
      </c>
      <c r="M80" s="34">
        <f t="shared" si="5"/>
        <v>0.01097081951</v>
      </c>
      <c r="N80" s="43">
        <v>3202.2</v>
      </c>
      <c r="O80" s="34">
        <f t="shared" si="6"/>
        <v>0.01531437268</v>
      </c>
      <c r="P80" s="28"/>
      <c r="Q80" s="29"/>
      <c r="R80" s="14"/>
      <c r="S80" s="35"/>
      <c r="T80" s="12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</row>
    <row r="81">
      <c r="A81" s="44">
        <v>38353.0</v>
      </c>
      <c r="B81" s="45">
        <v>15987.957</v>
      </c>
      <c r="C81" s="30">
        <f t="shared" si="1"/>
        <v>0.03483549935</v>
      </c>
      <c r="D81" s="46">
        <v>10677.41</v>
      </c>
      <c r="E81" s="31">
        <f t="shared" si="2"/>
        <v>0.0354139276</v>
      </c>
      <c r="F81" s="46">
        <v>54058.45</v>
      </c>
      <c r="G81" s="32">
        <f t="shared" si="3"/>
        <v>0.02536222538</v>
      </c>
      <c r="H81" s="51">
        <v>0.051</v>
      </c>
      <c r="I81" s="33">
        <f t="shared" si="4"/>
        <v>-0.004</v>
      </c>
      <c r="J81" s="50">
        <v>41.3</v>
      </c>
      <c r="K81" s="23">
        <f t="shared" si="7"/>
        <v>0.8</v>
      </c>
      <c r="L81" s="49">
        <v>141710.0</v>
      </c>
      <c r="M81" s="34">
        <f t="shared" si="5"/>
        <v>0.01773915542</v>
      </c>
      <c r="N81" s="43">
        <v>3226.2</v>
      </c>
      <c r="O81" s="34">
        <f t="shared" si="6"/>
        <v>0.007494847292</v>
      </c>
      <c r="P81" s="28"/>
      <c r="Q81" s="29"/>
      <c r="R81" s="14"/>
      <c r="S81" s="35"/>
      <c r="T81" s="12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</row>
    <row r="82">
      <c r="A82" s="44">
        <v>38718.0</v>
      </c>
      <c r="B82" s="45">
        <v>16433.148</v>
      </c>
      <c r="C82" s="30">
        <f t="shared" si="1"/>
        <v>0.02784539638</v>
      </c>
      <c r="D82" s="46">
        <v>10986.773</v>
      </c>
      <c r="E82" s="31">
        <f t="shared" si="2"/>
        <v>0.0289735994</v>
      </c>
      <c r="F82" s="46">
        <v>55035.24</v>
      </c>
      <c r="G82" s="32">
        <f t="shared" si="3"/>
        <v>0.01806914553</v>
      </c>
      <c r="H82" s="51">
        <v>0.046</v>
      </c>
      <c r="I82" s="33">
        <f t="shared" si="4"/>
        <v>-0.005</v>
      </c>
      <c r="J82" s="50">
        <v>41.7</v>
      </c>
      <c r="K82" s="23">
        <f t="shared" si="7"/>
        <v>0.4</v>
      </c>
      <c r="L82" s="49">
        <v>144418.0</v>
      </c>
      <c r="M82" s="34">
        <f t="shared" si="5"/>
        <v>0.01910944887</v>
      </c>
      <c r="N82" s="43">
        <v>3277.2</v>
      </c>
      <c r="O82" s="34">
        <f t="shared" si="6"/>
        <v>0.01580807142</v>
      </c>
      <c r="P82" s="28"/>
      <c r="Q82" s="29"/>
      <c r="R82" s="14"/>
      <c r="S82" s="35"/>
      <c r="T82" s="12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</row>
    <row r="83">
      <c r="A83" s="44">
        <v>39083.0</v>
      </c>
      <c r="B83" s="45">
        <v>16762.445</v>
      </c>
      <c r="C83" s="30">
        <f t="shared" si="1"/>
        <v>0.02003858299</v>
      </c>
      <c r="D83" s="46">
        <v>11253.852</v>
      </c>
      <c r="E83" s="31">
        <f t="shared" si="2"/>
        <v>0.02430913973</v>
      </c>
      <c r="F83" s="46">
        <v>55582.1</v>
      </c>
      <c r="G83" s="32">
        <f t="shared" si="3"/>
        <v>0.009936542477</v>
      </c>
      <c r="H83" s="51">
        <v>0.046</v>
      </c>
      <c r="I83" s="33">
        <f t="shared" si="4"/>
        <v>0</v>
      </c>
      <c r="J83" s="50">
        <v>41.1</v>
      </c>
      <c r="K83" s="23">
        <f t="shared" si="7"/>
        <v>-0.6</v>
      </c>
      <c r="L83" s="49">
        <v>146050.0</v>
      </c>
      <c r="M83" s="34">
        <f t="shared" si="5"/>
        <v>0.0113005304</v>
      </c>
      <c r="N83" s="43">
        <v>3335.9</v>
      </c>
      <c r="O83" s="34">
        <f t="shared" si="6"/>
        <v>0.01791163188</v>
      </c>
      <c r="P83" s="28"/>
      <c r="Q83" s="29"/>
      <c r="R83" s="14"/>
      <c r="S83" s="35"/>
      <c r="T83" s="12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</row>
    <row r="84">
      <c r="A84" s="44">
        <v>39448.0</v>
      </c>
      <c r="B84" s="45">
        <v>16781.485</v>
      </c>
      <c r="C84" s="30">
        <f t="shared" si="1"/>
        <v>0.001135872482</v>
      </c>
      <c r="D84" s="46">
        <v>11270.736</v>
      </c>
      <c r="E84" s="31">
        <f t="shared" si="2"/>
        <v>0.001500286302</v>
      </c>
      <c r="F84" s="46">
        <v>55134.27</v>
      </c>
      <c r="G84" s="32">
        <f t="shared" si="3"/>
        <v>-0.008057090322</v>
      </c>
      <c r="H84" s="51">
        <v>0.0579999999999999</v>
      </c>
      <c r="I84" s="33">
        <f t="shared" si="4"/>
        <v>0.012</v>
      </c>
      <c r="J84" s="50">
        <v>41.1</v>
      </c>
      <c r="K84" s="23">
        <f t="shared" si="7"/>
        <v>0</v>
      </c>
      <c r="L84" s="49">
        <v>145373.0</v>
      </c>
      <c r="M84" s="34">
        <f t="shared" si="5"/>
        <v>-0.004635398836</v>
      </c>
      <c r="N84" s="43">
        <v>3420.1</v>
      </c>
      <c r="O84" s="34">
        <f t="shared" si="6"/>
        <v>0.02524056477</v>
      </c>
      <c r="P84" s="28"/>
      <c r="Q84" s="29"/>
      <c r="R84" s="14"/>
      <c r="S84" s="35"/>
      <c r="T84" s="12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</row>
    <row r="85">
      <c r="A85" s="44">
        <v>39814.0</v>
      </c>
      <c r="B85" s="45">
        <v>16349.11</v>
      </c>
      <c r="C85" s="30">
        <f t="shared" si="1"/>
        <v>-0.02576500232</v>
      </c>
      <c r="D85" s="46">
        <v>11123.597</v>
      </c>
      <c r="E85" s="31">
        <f t="shared" si="2"/>
        <v>-0.01305495932</v>
      </c>
      <c r="F85" s="46">
        <v>53253.29</v>
      </c>
      <c r="G85" s="32">
        <f t="shared" si="3"/>
        <v>-0.03411634905</v>
      </c>
      <c r="H85" s="51">
        <v>0.093</v>
      </c>
      <c r="I85" s="33">
        <f t="shared" si="4"/>
        <v>0.035</v>
      </c>
      <c r="J85" s="50">
        <v>40.8</v>
      </c>
      <c r="K85" s="23">
        <f t="shared" si="7"/>
        <v>-0.3</v>
      </c>
      <c r="L85" s="49">
        <v>139894.0</v>
      </c>
      <c r="M85" s="34">
        <f t="shared" si="5"/>
        <v>-0.03768925454</v>
      </c>
      <c r="N85" s="43">
        <v>3542.7</v>
      </c>
      <c r="O85" s="34">
        <f t="shared" si="6"/>
        <v>0.03584690506</v>
      </c>
      <c r="P85" s="28"/>
      <c r="Q85" s="29"/>
      <c r="R85" s="14"/>
      <c r="S85" s="35"/>
      <c r="T85" s="12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</row>
    <row r="86">
      <c r="A86" s="44">
        <v>40179.0</v>
      </c>
      <c r="B86" s="45">
        <v>16789.75</v>
      </c>
      <c r="C86" s="30">
        <f t="shared" si="1"/>
        <v>0.02695192582</v>
      </c>
      <c r="D86" s="46">
        <v>11335.603</v>
      </c>
      <c r="E86" s="31">
        <f t="shared" si="2"/>
        <v>0.01905912269</v>
      </c>
      <c r="F86" s="46">
        <v>54279.26</v>
      </c>
      <c r="G86" s="32">
        <f t="shared" si="3"/>
        <v>0.01926585193</v>
      </c>
      <c r="H86" s="51">
        <v>0.096</v>
      </c>
      <c r="I86" s="33">
        <f t="shared" si="4"/>
        <v>0.003</v>
      </c>
      <c r="J86" s="50">
        <v>40.2</v>
      </c>
      <c r="K86" s="23">
        <f t="shared" si="7"/>
        <v>-0.6</v>
      </c>
      <c r="L86" s="49">
        <v>139077.0</v>
      </c>
      <c r="M86" s="34">
        <f t="shared" si="5"/>
        <v>-0.005840136103</v>
      </c>
      <c r="N86" s="43">
        <v>3539.7</v>
      </c>
      <c r="O86" s="34">
        <f t="shared" si="6"/>
        <v>-0.0008468117537</v>
      </c>
      <c r="P86" s="28"/>
      <c r="Q86" s="29"/>
      <c r="R86" s="14"/>
      <c r="S86" s="35"/>
      <c r="T86" s="12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</row>
    <row r="87">
      <c r="A87" s="44">
        <v>40544.0</v>
      </c>
      <c r="B87" s="45">
        <v>17052.41</v>
      </c>
      <c r="C87" s="30">
        <f t="shared" si="1"/>
        <v>0.01564406855</v>
      </c>
      <c r="D87" s="46">
        <v>11528.484</v>
      </c>
      <c r="E87" s="31">
        <f t="shared" si="2"/>
        <v>0.01701550416</v>
      </c>
      <c r="F87" s="46">
        <v>54732.9</v>
      </c>
      <c r="G87" s="32">
        <f t="shared" si="3"/>
        <v>0.008357519981</v>
      </c>
      <c r="H87" s="51">
        <v>0.089</v>
      </c>
      <c r="I87" s="33">
        <f t="shared" si="4"/>
        <v>-0.007</v>
      </c>
      <c r="J87" s="50">
        <v>41.2</v>
      </c>
      <c r="K87" s="23">
        <f t="shared" si="7"/>
        <v>1</v>
      </c>
      <c r="L87" s="49">
        <v>139885.0</v>
      </c>
      <c r="M87" s="34">
        <f t="shared" si="5"/>
        <v>0.0058097313</v>
      </c>
      <c r="N87" s="43">
        <v>3426.9</v>
      </c>
      <c r="O87" s="34">
        <f t="shared" si="6"/>
        <v>-0.03186710738</v>
      </c>
      <c r="P87" s="28"/>
      <c r="Q87" s="29"/>
      <c r="R87" s="14"/>
      <c r="S87" s="35"/>
      <c r="T87" s="12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</row>
    <row r="88">
      <c r="A88" s="21">
        <v>40909.0</v>
      </c>
      <c r="B88" s="22">
        <v>17442.759</v>
      </c>
      <c r="C88" s="30">
        <f t="shared" si="1"/>
        <v>0.02289113386</v>
      </c>
      <c r="D88" s="24">
        <v>11686.118</v>
      </c>
      <c r="E88" s="31">
        <f t="shared" si="2"/>
        <v>0.01367343703</v>
      </c>
      <c r="F88" s="24">
        <v>55580.1</v>
      </c>
      <c r="G88" s="32">
        <f t="shared" si="3"/>
        <v>0.01547880708</v>
      </c>
      <c r="H88" s="25">
        <v>0.081</v>
      </c>
      <c r="I88" s="33">
        <f t="shared" si="4"/>
        <v>-0.008</v>
      </c>
      <c r="J88" s="47">
        <v>41.2</v>
      </c>
      <c r="K88" s="23">
        <f t="shared" si="7"/>
        <v>0</v>
      </c>
      <c r="L88" s="26">
        <v>142475.0</v>
      </c>
      <c r="M88" s="34">
        <f t="shared" si="5"/>
        <v>0.01851520892</v>
      </c>
      <c r="N88" s="22">
        <v>3356.0</v>
      </c>
      <c r="O88" s="34">
        <f t="shared" si="6"/>
        <v>-0.02068925268</v>
      </c>
      <c r="P88" s="28"/>
      <c r="Q88" s="29"/>
      <c r="R88" s="14"/>
      <c r="S88" s="35"/>
      <c r="T88" s="12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</row>
    <row r="89">
      <c r="A89" s="21">
        <v>41275.0</v>
      </c>
      <c r="B89" s="22">
        <v>17812.167</v>
      </c>
      <c r="C89" s="30">
        <f t="shared" si="1"/>
        <v>0.02117830098</v>
      </c>
      <c r="D89" s="24">
        <v>11889.925</v>
      </c>
      <c r="E89" s="31">
        <f t="shared" si="2"/>
        <v>0.01744009431</v>
      </c>
      <c r="F89" s="24">
        <v>56368.74</v>
      </c>
      <c r="G89" s="32">
        <f t="shared" si="3"/>
        <v>0.01418925119</v>
      </c>
      <c r="H89" s="25">
        <v>0.074</v>
      </c>
      <c r="I89" s="33">
        <f t="shared" si="4"/>
        <v>-0.007</v>
      </c>
      <c r="J89" s="47">
        <v>40.9</v>
      </c>
      <c r="K89" s="23">
        <f t="shared" si="7"/>
        <v>-0.3</v>
      </c>
      <c r="L89" s="26">
        <v>143941.0</v>
      </c>
      <c r="M89" s="34">
        <f t="shared" si="5"/>
        <v>0.01028952448</v>
      </c>
      <c r="N89" s="22">
        <v>3275.6</v>
      </c>
      <c r="O89" s="34">
        <f t="shared" si="6"/>
        <v>-0.02395709178</v>
      </c>
      <c r="P89" s="28"/>
      <c r="Q89" s="29"/>
      <c r="R89" s="14"/>
      <c r="S89" s="35"/>
      <c r="T89" s="12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</row>
    <row r="90">
      <c r="A90" s="21">
        <v>41640.0</v>
      </c>
      <c r="B90" s="22">
        <v>18261.714</v>
      </c>
      <c r="C90" s="30">
        <f t="shared" si="1"/>
        <v>0.02523819814</v>
      </c>
      <c r="D90" s="24">
        <v>12226.446</v>
      </c>
      <c r="E90" s="31">
        <f t="shared" si="2"/>
        <v>0.02830303808</v>
      </c>
      <c r="F90" s="24">
        <v>57372.47</v>
      </c>
      <c r="G90" s="32">
        <f t="shared" si="3"/>
        <v>0.01780650055</v>
      </c>
      <c r="H90" s="25">
        <v>0.062</v>
      </c>
      <c r="I90" s="33">
        <f t="shared" si="4"/>
        <v>-0.012</v>
      </c>
      <c r="J90" s="47">
        <v>41.7</v>
      </c>
      <c r="K90" s="23">
        <f t="shared" si="7"/>
        <v>0.8</v>
      </c>
      <c r="L90" s="26">
        <v>146319.0</v>
      </c>
      <c r="M90" s="34">
        <f t="shared" si="5"/>
        <v>0.01652065777</v>
      </c>
      <c r="N90" s="22">
        <v>3247.3</v>
      </c>
      <c r="O90" s="34">
        <f t="shared" si="6"/>
        <v>-0.00863963854</v>
      </c>
      <c r="P90" s="28"/>
      <c r="Q90" s="29"/>
      <c r="R90" s="14"/>
      <c r="S90" s="35"/>
      <c r="T90" s="12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</row>
    <row r="91">
      <c r="A91" s="21">
        <v>42005.0</v>
      </c>
      <c r="B91" s="22">
        <v>18799.622</v>
      </c>
      <c r="C91" s="30">
        <f t="shared" si="1"/>
        <v>0.02945550456</v>
      </c>
      <c r="D91" s="24">
        <v>12638.789</v>
      </c>
      <c r="E91" s="31">
        <f t="shared" si="2"/>
        <v>0.03372549963</v>
      </c>
      <c r="F91" s="24">
        <v>58632.44</v>
      </c>
      <c r="G91" s="32">
        <f t="shared" si="3"/>
        <v>0.02196122984</v>
      </c>
      <c r="H91" s="25">
        <v>0.053</v>
      </c>
      <c r="I91" s="33">
        <f t="shared" si="4"/>
        <v>-0.009</v>
      </c>
      <c r="J91" s="47">
        <v>41.5</v>
      </c>
      <c r="K91" s="23">
        <f t="shared" si="7"/>
        <v>-0.2</v>
      </c>
      <c r="L91" s="26">
        <v>148845.0</v>
      </c>
      <c r="M91" s="34">
        <f t="shared" si="5"/>
        <v>0.01726364997</v>
      </c>
      <c r="N91" s="22">
        <v>3313.6</v>
      </c>
      <c r="O91" s="34">
        <f t="shared" si="6"/>
        <v>0.02041696178</v>
      </c>
      <c r="P91" s="28"/>
      <c r="Q91" s="29"/>
      <c r="R91" s="14"/>
      <c r="S91" s="35"/>
      <c r="T91" s="12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</row>
    <row r="92">
      <c r="A92" s="21">
        <v>42370.0</v>
      </c>
      <c r="B92" s="22">
        <v>19141.672</v>
      </c>
      <c r="C92" s="30">
        <f t="shared" si="1"/>
        <v>0.01819451476</v>
      </c>
      <c r="D92" s="24">
        <v>12949.012</v>
      </c>
      <c r="E92" s="31">
        <f t="shared" si="2"/>
        <v>0.02454531047</v>
      </c>
      <c r="F92" s="24">
        <v>59272.91</v>
      </c>
      <c r="G92" s="32">
        <f t="shared" si="3"/>
        <v>0.01092347513</v>
      </c>
      <c r="H92" s="25">
        <v>0.049</v>
      </c>
      <c r="I92" s="33">
        <f t="shared" si="4"/>
        <v>-0.004</v>
      </c>
      <c r="J92" s="47">
        <v>41.3</v>
      </c>
      <c r="K92" s="23">
        <f t="shared" si="7"/>
        <v>-0.2</v>
      </c>
      <c r="L92" s="26">
        <v>151436.0</v>
      </c>
      <c r="M92" s="34">
        <f t="shared" si="5"/>
        <v>0.01740737008</v>
      </c>
      <c r="N92" s="22">
        <v>3378.5</v>
      </c>
      <c r="O92" s="34">
        <f t="shared" si="6"/>
        <v>0.01958594882</v>
      </c>
      <c r="P92" s="28"/>
      <c r="Q92" s="29"/>
      <c r="R92" s="14"/>
      <c r="S92" s="35"/>
      <c r="T92" s="12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</row>
    <row r="93">
      <c r="A93" s="21">
        <v>42736.0</v>
      </c>
      <c r="B93" s="22">
        <v>19612.102</v>
      </c>
      <c r="C93" s="30">
        <f t="shared" si="1"/>
        <v>0.02457622302</v>
      </c>
      <c r="D93" s="24">
        <v>13290.626</v>
      </c>
      <c r="E93" s="31">
        <f t="shared" si="2"/>
        <v>0.02638147219</v>
      </c>
      <c r="F93" s="24">
        <v>60347.61</v>
      </c>
      <c r="G93" s="32">
        <f t="shared" si="3"/>
        <v>0.01813138582</v>
      </c>
      <c r="H93" s="25">
        <v>0.044</v>
      </c>
      <c r="I93" s="33">
        <f t="shared" si="4"/>
        <v>-0.005</v>
      </c>
      <c r="J93" s="47">
        <v>41.4</v>
      </c>
      <c r="K93" s="23">
        <f t="shared" si="7"/>
        <v>0.1</v>
      </c>
      <c r="L93" s="26">
        <v>153335.0</v>
      </c>
      <c r="M93" s="34">
        <f t="shared" si="5"/>
        <v>0.01253995087</v>
      </c>
      <c r="N93" s="22">
        <v>3397.1</v>
      </c>
      <c r="O93" s="34">
        <f t="shared" si="6"/>
        <v>0.005505401806</v>
      </c>
      <c r="P93" s="28"/>
      <c r="Q93" s="29"/>
      <c r="R93" s="14"/>
      <c r="S93" s="35"/>
      <c r="T93" s="12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</row>
    <row r="94">
      <c r="A94" s="21">
        <v>43101.0</v>
      </c>
      <c r="B94" s="22">
        <v>20193.896</v>
      </c>
      <c r="C94" s="30">
        <f t="shared" si="1"/>
        <v>0.02966505069</v>
      </c>
      <c r="D94" s="24">
        <v>13654.925</v>
      </c>
      <c r="E94" s="31">
        <f t="shared" si="2"/>
        <v>0.02741022131</v>
      </c>
      <c r="F94" s="24">
        <v>61814.11</v>
      </c>
      <c r="G94" s="32">
        <f t="shared" si="3"/>
        <v>0.02430087952</v>
      </c>
      <c r="H94" s="25">
        <v>0.039</v>
      </c>
      <c r="I94" s="33">
        <f t="shared" si="4"/>
        <v>-0.005</v>
      </c>
      <c r="J94" s="47">
        <v>41.8</v>
      </c>
      <c r="K94" s="23">
        <f t="shared" si="7"/>
        <v>0.4</v>
      </c>
      <c r="L94" s="26">
        <v>155763.0</v>
      </c>
      <c r="M94" s="34">
        <f t="shared" si="5"/>
        <v>0.01583461049</v>
      </c>
      <c r="N94" s="22">
        <v>3465.0</v>
      </c>
      <c r="O94" s="34">
        <f t="shared" si="6"/>
        <v>0.01998763651</v>
      </c>
      <c r="P94" s="28"/>
      <c r="Q94" s="29"/>
      <c r="R94" s="14"/>
      <c r="S94" s="35"/>
      <c r="T94" s="12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</row>
    <row r="95">
      <c r="A95" s="21">
        <v>43466.0</v>
      </c>
      <c r="B95" s="22">
        <v>20715.671</v>
      </c>
      <c r="C95" s="30">
        <f t="shared" si="1"/>
        <v>0.0258382533</v>
      </c>
      <c r="D95" s="24">
        <v>13948.133</v>
      </c>
      <c r="E95" s="31">
        <f t="shared" si="2"/>
        <v>0.02147269209</v>
      </c>
      <c r="F95" s="24">
        <v>63111.45</v>
      </c>
      <c r="G95" s="32">
        <f t="shared" si="3"/>
        <v>0.02098776477</v>
      </c>
      <c r="H95" s="25">
        <v>0.037</v>
      </c>
      <c r="I95" s="33">
        <f t="shared" si="4"/>
        <v>-0.002</v>
      </c>
      <c r="J95" s="47">
        <v>41.9</v>
      </c>
      <c r="K95" s="23">
        <f t="shared" si="7"/>
        <v>0.1</v>
      </c>
      <c r="L95" s="26">
        <v>157537.0</v>
      </c>
      <c r="M95" s="34">
        <f t="shared" si="5"/>
        <v>0.01138909754</v>
      </c>
      <c r="N95" s="22">
        <v>3600.4</v>
      </c>
      <c r="O95" s="34">
        <f t="shared" si="6"/>
        <v>0.03907647908</v>
      </c>
      <c r="P95" s="28"/>
      <c r="Q95" s="29"/>
      <c r="R95" s="14"/>
      <c r="S95" s="35"/>
      <c r="T95" s="12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</row>
    <row r="96">
      <c r="A96" s="21">
        <v>43831.0</v>
      </c>
      <c r="B96" s="22">
        <v>20284.5</v>
      </c>
      <c r="C96" s="30">
        <f t="shared" si="1"/>
        <v>-0.02081375979</v>
      </c>
      <c r="D96" s="24">
        <v>13596.86</v>
      </c>
      <c r="E96" s="31">
        <f t="shared" si="2"/>
        <v>-0.02518423075</v>
      </c>
      <c r="F96" s="24">
        <v>61175.63</v>
      </c>
      <c r="G96" s="32">
        <f t="shared" si="3"/>
        <v>-0.03067303952</v>
      </c>
      <c r="H96" s="25">
        <v>0.081</v>
      </c>
      <c r="I96" s="33">
        <f t="shared" si="4"/>
        <v>0.044</v>
      </c>
      <c r="J96" s="47">
        <v>40.0</v>
      </c>
      <c r="K96" s="23">
        <f t="shared" si="7"/>
        <v>-1.9</v>
      </c>
      <c r="L96" s="26">
        <v>147813.0</v>
      </c>
      <c r="M96" s="34">
        <f t="shared" si="5"/>
        <v>-0.06172518202</v>
      </c>
      <c r="N96" s="22">
        <v>3722.7</v>
      </c>
      <c r="O96" s="34">
        <f t="shared" si="6"/>
        <v>0.03396844795</v>
      </c>
      <c r="P96" s="28"/>
      <c r="Q96" s="29"/>
      <c r="R96" s="14"/>
      <c r="S96" s="35"/>
      <c r="T96" s="12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</row>
    <row r="97">
      <c r="A97" s="21">
        <v>44197.0</v>
      </c>
      <c r="B97" s="22">
        <v>21532.407</v>
      </c>
      <c r="C97" s="30">
        <f t="shared" si="1"/>
        <v>0.0615202248</v>
      </c>
      <c r="D97" s="24">
        <v>14792.434</v>
      </c>
      <c r="E97" s="31">
        <f t="shared" si="2"/>
        <v>0.08793015446</v>
      </c>
      <c r="F97" s="24">
        <v>64837.09</v>
      </c>
      <c r="G97" s="32">
        <f t="shared" si="3"/>
        <v>0.05985161085</v>
      </c>
      <c r="H97" s="25">
        <v>0.054</v>
      </c>
      <c r="I97" s="33">
        <f t="shared" si="4"/>
        <v>-0.027</v>
      </c>
      <c r="J97" s="47">
        <v>39.7</v>
      </c>
      <c r="K97" s="23">
        <f t="shared" si="7"/>
        <v>-0.3</v>
      </c>
      <c r="L97" s="26">
        <v>152582.0</v>
      </c>
      <c r="M97" s="34">
        <f t="shared" si="5"/>
        <v>0.03226373864</v>
      </c>
      <c r="N97" s="22">
        <v>3718.6</v>
      </c>
      <c r="O97" s="34">
        <f t="shared" si="6"/>
        <v>-0.00110135117</v>
      </c>
      <c r="P97" s="28"/>
      <c r="Q97" s="29"/>
      <c r="R97" s="14"/>
      <c r="S97" s="35"/>
      <c r="T97" s="12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</row>
    <row r="98">
      <c r="A98" s="21">
        <v>44562.0</v>
      </c>
      <c r="B98" s="22">
        <v>22075.931</v>
      </c>
      <c r="C98" s="30">
        <f t="shared" si="1"/>
        <v>0.02524213851</v>
      </c>
      <c r="D98" s="24">
        <v>15236.821</v>
      </c>
      <c r="E98" s="31">
        <f t="shared" si="2"/>
        <v>0.03004150635</v>
      </c>
      <c r="F98" s="24">
        <v>66096.33</v>
      </c>
      <c r="G98" s="32">
        <f t="shared" si="3"/>
        <v>0.01942159958</v>
      </c>
      <c r="H98" s="25">
        <v>0.037</v>
      </c>
      <c r="I98" s="33">
        <f t="shared" si="4"/>
        <v>-0.017</v>
      </c>
      <c r="J98" s="47">
        <v>41.7</v>
      </c>
      <c r="K98" s="23">
        <f t="shared" si="7"/>
        <v>2</v>
      </c>
      <c r="L98" s="26">
        <v>158294.0</v>
      </c>
      <c r="M98" s="34">
        <f t="shared" si="5"/>
        <v>0.03743560839</v>
      </c>
      <c r="N98" s="22">
        <v>3672.7</v>
      </c>
      <c r="O98" s="34">
        <f t="shared" si="6"/>
        <v>-0.01234335503</v>
      </c>
      <c r="P98" s="28"/>
      <c r="Q98" s="29"/>
      <c r="R98" s="14"/>
      <c r="S98" s="35"/>
      <c r="T98" s="12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</row>
    <row r="99">
      <c r="A99" s="21">
        <v>44927.0</v>
      </c>
      <c r="B99" s="22">
        <v>22723.719</v>
      </c>
      <c r="C99" s="30">
        <f t="shared" si="1"/>
        <v>0.02934363221</v>
      </c>
      <c r="D99" s="24">
        <v>15627.774</v>
      </c>
      <c r="E99" s="31">
        <f t="shared" si="2"/>
        <v>0.02565843623</v>
      </c>
      <c r="F99" s="24">
        <v>67478.48</v>
      </c>
      <c r="G99" s="32">
        <f t="shared" si="3"/>
        <v>0.0209111459</v>
      </c>
      <c r="H99" s="25">
        <v>0.036</v>
      </c>
      <c r="I99" s="33">
        <f t="shared" si="4"/>
        <v>-0.001</v>
      </c>
      <c r="J99" s="47">
        <v>41.8</v>
      </c>
      <c r="K99" s="23">
        <f t="shared" si="7"/>
        <v>0.1</v>
      </c>
      <c r="L99" s="26">
        <v>161041.0</v>
      </c>
      <c r="M99" s="34">
        <f t="shared" si="5"/>
        <v>0.01735378473</v>
      </c>
      <c r="N99" s="22">
        <v>3800.7</v>
      </c>
      <c r="O99" s="34">
        <f t="shared" si="6"/>
        <v>0.03485174395</v>
      </c>
      <c r="P99" s="28"/>
      <c r="Q99" s="29"/>
      <c r="R99" s="14"/>
      <c r="S99" s="35"/>
      <c r="T99" s="12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</row>
    <row r="100">
      <c r="A100" s="21">
        <v>45292.0</v>
      </c>
      <c r="B100" s="22">
        <v>23358.435</v>
      </c>
      <c r="C100" s="30">
        <f t="shared" si="1"/>
        <v>0.02793187154</v>
      </c>
      <c r="D100" s="24">
        <v>16088.5</v>
      </c>
      <c r="E100" s="31">
        <f t="shared" si="2"/>
        <v>0.02948123002</v>
      </c>
      <c r="F100" s="24">
        <v>68700.51</v>
      </c>
      <c r="G100" s="32">
        <f t="shared" si="3"/>
        <v>0.01810992186</v>
      </c>
      <c r="H100" s="25">
        <v>0.04</v>
      </c>
      <c r="I100" s="33">
        <f t="shared" si="4"/>
        <v>0.004</v>
      </c>
      <c r="J100" s="52"/>
      <c r="K100" s="15"/>
      <c r="L100" s="26">
        <v>161348.0</v>
      </c>
      <c r="M100" s="34">
        <f t="shared" si="5"/>
        <v>0.001906346831</v>
      </c>
      <c r="N100" s="22">
        <v>3945.3</v>
      </c>
      <c r="O100" s="34">
        <f t="shared" si="6"/>
        <v>0.03804562317</v>
      </c>
      <c r="P100" s="28"/>
      <c r="Q100" s="29"/>
      <c r="R100" s="14"/>
      <c r="S100" s="35"/>
      <c r="T100" s="12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</row>
    <row r="101">
      <c r="A101" s="21">
        <v>45658.0</v>
      </c>
      <c r="B101" s="22">
        <v>23852.994</v>
      </c>
      <c r="C101" s="30">
        <f t="shared" si="1"/>
        <v>0.02117260852</v>
      </c>
      <c r="D101" s="24">
        <v>16511.096</v>
      </c>
      <c r="E101" s="31">
        <f t="shared" si="2"/>
        <v>0.02626696087</v>
      </c>
      <c r="F101" s="24">
        <v>69789.5</v>
      </c>
      <c r="G101" s="32">
        <f t="shared" si="3"/>
        <v>0.01585126515</v>
      </c>
      <c r="H101" s="25">
        <v>0.043</v>
      </c>
      <c r="I101" s="33">
        <f t="shared" si="4"/>
        <v>0.003</v>
      </c>
      <c r="J101" s="52"/>
      <c r="K101" s="15"/>
      <c r="L101" s="26">
        <v>163551.0</v>
      </c>
      <c r="M101" s="34">
        <f t="shared" si="5"/>
        <v>0.01365371743</v>
      </c>
      <c r="N101" s="22">
        <v>3989.3</v>
      </c>
      <c r="O101" s="34">
        <f t="shared" si="6"/>
        <v>0.01115251058</v>
      </c>
      <c r="P101" s="28"/>
      <c r="Q101" s="29"/>
      <c r="R101" s="14"/>
      <c r="S101" s="35"/>
      <c r="T101" s="12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3"/>
      <c r="L102" s="54"/>
      <c r="M102" s="14"/>
      <c r="N102" s="14"/>
      <c r="O102" s="14"/>
      <c r="P102" s="28"/>
      <c r="Q102" s="29"/>
      <c r="R102" s="14"/>
      <c r="S102" s="35"/>
      <c r="T102" s="12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54"/>
      <c r="M103" s="14"/>
      <c r="N103" s="14"/>
      <c r="O103" s="14"/>
      <c r="P103" s="14"/>
      <c r="Q103" s="14"/>
      <c r="R103" s="14"/>
      <c r="S103" s="35"/>
      <c r="T103" s="12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54"/>
      <c r="M104" s="15"/>
      <c r="N104" s="15"/>
      <c r="O104" s="15"/>
      <c r="P104" s="15"/>
      <c r="Q104" s="15"/>
      <c r="R104" s="15"/>
      <c r="S104" s="55"/>
      <c r="T104" s="53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55"/>
      <c r="T105" s="53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55"/>
      <c r="T106" s="53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</row>
    <row r="107">
      <c r="A107" s="56"/>
      <c r="CZ107" s="57"/>
    </row>
    <row r="108">
      <c r="A108" s="58"/>
      <c r="CZ108" s="57"/>
    </row>
    <row r="109">
      <c r="A109" s="59"/>
      <c r="CZ109" s="57"/>
    </row>
    <row r="110">
      <c r="A110" s="58"/>
      <c r="CZ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</row>
    <row r="112">
      <c r="A112" s="60"/>
      <c r="B112" s="6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0"/>
      <c r="CO112" s="60"/>
      <c r="CP112" s="60"/>
      <c r="CQ112" s="60"/>
      <c r="CR112" s="60"/>
      <c r="CS112" s="60"/>
      <c r="CT112" s="60"/>
      <c r="CU112" s="60"/>
      <c r="CV112" s="60"/>
      <c r="CW112" s="60"/>
      <c r="CX112" s="60"/>
      <c r="CY112" s="60"/>
      <c r="CZ112" s="57"/>
    </row>
    <row r="113">
      <c r="A113" s="58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</row>
    <row r="114">
      <c r="A114" s="58"/>
      <c r="B114" s="56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57"/>
    </row>
    <row r="115">
      <c r="A115" s="58"/>
      <c r="B115" s="56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57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63"/>
      <c r="CH116" s="63"/>
      <c r="CI116" s="63"/>
      <c r="CJ116" s="63"/>
      <c r="CK116" s="63"/>
      <c r="CL116" s="63"/>
      <c r="CM116" s="63"/>
      <c r="CN116" s="63"/>
      <c r="CO116" s="63"/>
      <c r="CP116" s="63"/>
      <c r="CQ116" s="63"/>
      <c r="CR116" s="63"/>
      <c r="CS116" s="63"/>
      <c r="CT116" s="63"/>
      <c r="CU116" s="63"/>
      <c r="CV116" s="63"/>
      <c r="CW116" s="63"/>
      <c r="CX116" s="63"/>
      <c r="CY116" s="63"/>
      <c r="CZ116" s="57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63"/>
      <c r="CH117" s="63"/>
      <c r="CI117" s="63"/>
      <c r="CJ117" s="63"/>
      <c r="CK117" s="63"/>
      <c r="CL117" s="63"/>
      <c r="CM117" s="63"/>
      <c r="CN117" s="63"/>
      <c r="CO117" s="63"/>
      <c r="CP117" s="63"/>
      <c r="CQ117" s="63"/>
      <c r="CR117" s="63"/>
      <c r="CS117" s="63"/>
      <c r="CT117" s="63"/>
      <c r="CU117" s="63"/>
      <c r="CV117" s="63"/>
      <c r="CW117" s="63"/>
      <c r="CX117" s="63"/>
      <c r="CY117" s="63"/>
      <c r="CZ117" s="57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63"/>
      <c r="CH118" s="63"/>
      <c r="CI118" s="63"/>
      <c r="CJ118" s="63"/>
      <c r="CK118" s="63"/>
      <c r="CL118" s="63"/>
      <c r="CM118" s="63"/>
      <c r="CN118" s="63"/>
      <c r="CO118" s="63"/>
      <c r="CP118" s="63"/>
      <c r="CQ118" s="63"/>
      <c r="CR118" s="63"/>
      <c r="CS118" s="63"/>
      <c r="CT118" s="63"/>
      <c r="CU118" s="63"/>
      <c r="CV118" s="63"/>
      <c r="CW118" s="63"/>
      <c r="CX118" s="63"/>
      <c r="CY118" s="63"/>
      <c r="CZ118" s="57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63"/>
      <c r="CH119" s="63"/>
      <c r="CI119" s="63"/>
      <c r="CJ119" s="63"/>
      <c r="CK119" s="63"/>
      <c r="CL119" s="63"/>
      <c r="CM119" s="63"/>
      <c r="CN119" s="63"/>
      <c r="CO119" s="63"/>
      <c r="CP119" s="63"/>
      <c r="CQ119" s="63"/>
      <c r="CR119" s="63"/>
      <c r="CS119" s="63"/>
      <c r="CT119" s="63"/>
      <c r="CU119" s="63"/>
      <c r="CV119" s="63"/>
      <c r="CW119" s="63"/>
      <c r="CX119" s="63"/>
      <c r="CY119" s="63"/>
      <c r="CZ119" s="57"/>
    </row>
    <row r="120">
      <c r="A120" s="58"/>
      <c r="B120" s="56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57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63"/>
      <c r="CH121" s="63"/>
      <c r="CI121" s="63"/>
      <c r="CJ121" s="63"/>
      <c r="CK121" s="63"/>
      <c r="CL121" s="63"/>
      <c r="CM121" s="63"/>
      <c r="CN121" s="63"/>
      <c r="CO121" s="63"/>
      <c r="CP121" s="63"/>
      <c r="CQ121" s="63"/>
      <c r="CR121" s="63"/>
      <c r="CS121" s="63"/>
      <c r="CT121" s="63"/>
      <c r="CU121" s="63"/>
      <c r="CV121" s="63"/>
      <c r="CW121" s="63"/>
      <c r="CX121" s="63"/>
      <c r="CY121" s="63"/>
      <c r="CZ121" s="57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63"/>
      <c r="CH122" s="63"/>
      <c r="CI122" s="63"/>
      <c r="CJ122" s="63"/>
      <c r="CK122" s="63"/>
      <c r="CL122" s="63"/>
      <c r="CM122" s="63"/>
      <c r="CN122" s="63"/>
      <c r="CO122" s="63"/>
      <c r="CP122" s="63"/>
      <c r="CQ122" s="63"/>
      <c r="CR122" s="63"/>
      <c r="CS122" s="63"/>
      <c r="CT122" s="63"/>
      <c r="CU122" s="63"/>
      <c r="CV122" s="63"/>
      <c r="CW122" s="63"/>
      <c r="CX122" s="63"/>
      <c r="CY122" s="63"/>
      <c r="CZ122" s="57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63"/>
      <c r="CH123" s="63"/>
      <c r="CI123" s="63"/>
      <c r="CJ123" s="63"/>
      <c r="CK123" s="63"/>
      <c r="CL123" s="63"/>
      <c r="CM123" s="63"/>
      <c r="CN123" s="63"/>
      <c r="CO123" s="63"/>
      <c r="CP123" s="63"/>
      <c r="CQ123" s="63"/>
      <c r="CR123" s="63"/>
      <c r="CS123" s="63"/>
      <c r="CT123" s="63"/>
      <c r="CU123" s="63"/>
      <c r="CV123" s="63"/>
      <c r="CW123" s="63"/>
      <c r="CX123" s="63"/>
      <c r="CY123" s="63"/>
      <c r="CZ123" s="57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63"/>
      <c r="CH124" s="63"/>
      <c r="CI124" s="63"/>
      <c r="CJ124" s="63"/>
      <c r="CK124" s="63"/>
      <c r="CL124" s="63"/>
      <c r="CM124" s="63"/>
      <c r="CN124" s="63"/>
      <c r="CO124" s="63"/>
      <c r="CP124" s="63"/>
      <c r="CQ124" s="63"/>
      <c r="CR124" s="63"/>
      <c r="CS124" s="63"/>
      <c r="CT124" s="63"/>
      <c r="CU124" s="63"/>
      <c r="CV124" s="63"/>
      <c r="CW124" s="63"/>
      <c r="CX124" s="63"/>
      <c r="CY124" s="63"/>
      <c r="CZ124" s="57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63"/>
      <c r="CH125" s="63"/>
      <c r="CI125" s="63"/>
      <c r="CJ125" s="63"/>
      <c r="CK125" s="63"/>
      <c r="CL125" s="63"/>
      <c r="CM125" s="63"/>
      <c r="CN125" s="63"/>
      <c r="CO125" s="63"/>
      <c r="CP125" s="63"/>
      <c r="CQ125" s="63"/>
      <c r="CR125" s="63"/>
      <c r="CS125" s="63"/>
      <c r="CT125" s="63"/>
      <c r="CU125" s="63"/>
      <c r="CV125" s="63"/>
      <c r="CW125" s="63"/>
      <c r="CX125" s="63"/>
      <c r="CY125" s="63"/>
      <c r="CZ125" s="57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63"/>
      <c r="CH126" s="63"/>
      <c r="CI126" s="63"/>
      <c r="CJ126" s="63"/>
      <c r="CK126" s="63"/>
      <c r="CL126" s="63"/>
      <c r="CM126" s="63"/>
      <c r="CN126" s="63"/>
      <c r="CO126" s="63"/>
      <c r="CP126" s="63"/>
      <c r="CQ126" s="63"/>
      <c r="CR126" s="63"/>
      <c r="CS126" s="63"/>
      <c r="CT126" s="63"/>
      <c r="CU126" s="63"/>
      <c r="CV126" s="63"/>
      <c r="CW126" s="63"/>
      <c r="CX126" s="63"/>
      <c r="CY126" s="63"/>
      <c r="CZ126" s="57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63"/>
      <c r="CH127" s="63"/>
      <c r="CI127" s="63"/>
      <c r="CJ127" s="63"/>
      <c r="CK127" s="63"/>
      <c r="CL127" s="63"/>
      <c r="CM127" s="63"/>
      <c r="CN127" s="63"/>
      <c r="CO127" s="63"/>
      <c r="CP127" s="63"/>
      <c r="CQ127" s="63"/>
      <c r="CR127" s="63"/>
      <c r="CS127" s="63"/>
      <c r="CT127" s="63"/>
      <c r="CU127" s="63"/>
      <c r="CV127" s="63"/>
      <c r="CW127" s="63"/>
      <c r="CX127" s="63"/>
      <c r="CY127" s="63"/>
      <c r="CZ127" s="57"/>
    </row>
    <row r="128">
      <c r="A128" s="58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57"/>
    </row>
    <row r="129">
      <c r="A129" s="58"/>
      <c r="B129" s="58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3"/>
      <c r="CM129" s="63"/>
      <c r="CN129" s="63"/>
      <c r="CO129" s="63"/>
      <c r="CP129" s="63"/>
      <c r="CQ129" s="63"/>
      <c r="CR129" s="63"/>
      <c r="CS129" s="63"/>
      <c r="CT129" s="63"/>
      <c r="CU129" s="63"/>
      <c r="CV129" s="63"/>
      <c r="CW129" s="63"/>
      <c r="CX129" s="63"/>
      <c r="CY129" s="63"/>
      <c r="CZ129" s="57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63"/>
      <c r="CH130" s="63"/>
      <c r="CI130" s="63"/>
      <c r="CJ130" s="63"/>
      <c r="CK130" s="63"/>
      <c r="CL130" s="63"/>
      <c r="CM130" s="63"/>
      <c r="CN130" s="63"/>
      <c r="CO130" s="63"/>
      <c r="CP130" s="63"/>
      <c r="CQ130" s="63"/>
      <c r="CR130" s="63"/>
      <c r="CS130" s="63"/>
      <c r="CT130" s="63"/>
      <c r="CU130" s="63"/>
      <c r="CV130" s="63"/>
      <c r="CW130" s="63"/>
      <c r="CX130" s="63"/>
      <c r="CY130" s="63"/>
      <c r="CZ130" s="57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63"/>
      <c r="CH131" s="63"/>
      <c r="CI131" s="63"/>
      <c r="CJ131" s="63"/>
      <c r="CK131" s="63"/>
      <c r="CL131" s="63"/>
      <c r="CM131" s="63"/>
      <c r="CN131" s="63"/>
      <c r="CO131" s="63"/>
      <c r="CP131" s="63"/>
      <c r="CQ131" s="63"/>
      <c r="CR131" s="63"/>
      <c r="CS131" s="63"/>
      <c r="CT131" s="63"/>
      <c r="CU131" s="63"/>
      <c r="CV131" s="63"/>
      <c r="CW131" s="63"/>
      <c r="CX131" s="63"/>
      <c r="CY131" s="63"/>
      <c r="CZ131" s="57"/>
    </row>
    <row r="132">
      <c r="A132" s="58"/>
      <c r="B132" s="58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3"/>
      <c r="CH132" s="63"/>
      <c r="CI132" s="63"/>
      <c r="CJ132" s="63"/>
      <c r="CK132" s="63"/>
      <c r="CL132" s="63"/>
      <c r="CM132" s="63"/>
      <c r="CN132" s="63"/>
      <c r="CO132" s="63"/>
      <c r="CP132" s="63"/>
      <c r="CQ132" s="63"/>
      <c r="CR132" s="63"/>
      <c r="CS132" s="63"/>
      <c r="CT132" s="63"/>
      <c r="CU132" s="63"/>
      <c r="CV132" s="63"/>
      <c r="CW132" s="63"/>
      <c r="CX132" s="63"/>
      <c r="CY132" s="63"/>
      <c r="CZ132" s="57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63"/>
      <c r="CH133" s="63"/>
      <c r="CI133" s="63"/>
      <c r="CJ133" s="63"/>
      <c r="CK133" s="63"/>
      <c r="CL133" s="63"/>
      <c r="CM133" s="63"/>
      <c r="CN133" s="63"/>
      <c r="CO133" s="63"/>
      <c r="CP133" s="63"/>
      <c r="CQ133" s="63"/>
      <c r="CR133" s="63"/>
      <c r="CS133" s="63"/>
      <c r="CT133" s="63"/>
      <c r="CU133" s="63"/>
      <c r="CV133" s="63"/>
      <c r="CW133" s="63"/>
      <c r="CX133" s="63"/>
      <c r="CY133" s="63"/>
      <c r="CZ133" s="57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63"/>
      <c r="CH134" s="63"/>
      <c r="CI134" s="63"/>
      <c r="CJ134" s="63"/>
      <c r="CK134" s="63"/>
      <c r="CL134" s="63"/>
      <c r="CM134" s="63"/>
      <c r="CN134" s="63"/>
      <c r="CO134" s="63"/>
      <c r="CP134" s="63"/>
      <c r="CQ134" s="63"/>
      <c r="CR134" s="63"/>
      <c r="CS134" s="63"/>
      <c r="CT134" s="63"/>
      <c r="CU134" s="63"/>
      <c r="CV134" s="63"/>
      <c r="CW134" s="63"/>
      <c r="CX134" s="63"/>
      <c r="CY134" s="63"/>
      <c r="CZ134" s="57"/>
    </row>
    <row r="135">
      <c r="A135" s="58"/>
      <c r="B135" s="56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57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63"/>
      <c r="CH136" s="63"/>
      <c r="CI136" s="63"/>
      <c r="CJ136" s="63"/>
      <c r="CK136" s="63"/>
      <c r="CL136" s="63"/>
      <c r="CM136" s="63"/>
      <c r="CN136" s="63"/>
      <c r="CO136" s="63"/>
      <c r="CP136" s="63"/>
      <c r="CQ136" s="63"/>
      <c r="CR136" s="63"/>
      <c r="CS136" s="63"/>
      <c r="CT136" s="63"/>
      <c r="CU136" s="63"/>
      <c r="CV136" s="63"/>
      <c r="CW136" s="63"/>
      <c r="CX136" s="63"/>
      <c r="CY136" s="63"/>
      <c r="CZ136" s="57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63"/>
      <c r="CH137" s="63"/>
      <c r="CI137" s="63"/>
      <c r="CJ137" s="63"/>
      <c r="CK137" s="63"/>
      <c r="CL137" s="63"/>
      <c r="CM137" s="63"/>
      <c r="CN137" s="63"/>
      <c r="CO137" s="63"/>
      <c r="CP137" s="63"/>
      <c r="CQ137" s="63"/>
      <c r="CR137" s="63"/>
      <c r="CS137" s="63"/>
      <c r="CT137" s="63"/>
      <c r="CU137" s="63"/>
      <c r="CV137" s="63"/>
      <c r="CW137" s="63"/>
      <c r="CX137" s="63"/>
      <c r="CY137" s="63"/>
      <c r="CZ137" s="57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63"/>
      <c r="CH138" s="63"/>
      <c r="CI138" s="63"/>
      <c r="CJ138" s="63"/>
      <c r="CK138" s="63"/>
      <c r="CL138" s="63"/>
      <c r="CM138" s="63"/>
      <c r="CN138" s="63"/>
      <c r="CO138" s="63"/>
      <c r="CP138" s="63"/>
      <c r="CQ138" s="63"/>
      <c r="CR138" s="63"/>
      <c r="CS138" s="63"/>
      <c r="CT138" s="63"/>
      <c r="CU138" s="63"/>
      <c r="CV138" s="63"/>
      <c r="CW138" s="63"/>
      <c r="CX138" s="63"/>
      <c r="CY138" s="63"/>
      <c r="CZ138" s="57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63"/>
      <c r="CH139" s="63"/>
      <c r="CI139" s="63"/>
      <c r="CJ139" s="63"/>
      <c r="CK139" s="63"/>
      <c r="CL139" s="63"/>
      <c r="CM139" s="63"/>
      <c r="CN139" s="63"/>
      <c r="CO139" s="63"/>
      <c r="CP139" s="63"/>
      <c r="CQ139" s="63"/>
      <c r="CR139" s="63"/>
      <c r="CS139" s="63"/>
      <c r="CT139" s="63"/>
      <c r="CU139" s="63"/>
      <c r="CV139" s="63"/>
      <c r="CW139" s="63"/>
      <c r="CX139" s="63"/>
      <c r="CY139" s="63"/>
      <c r="CZ139" s="57"/>
    </row>
    <row r="140">
      <c r="A140" s="58"/>
      <c r="B140" s="58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3"/>
      <c r="CM140" s="63"/>
      <c r="CN140" s="63"/>
      <c r="CO140" s="63"/>
      <c r="CP140" s="63"/>
      <c r="CQ140" s="63"/>
      <c r="CR140" s="63"/>
      <c r="CS140" s="63"/>
      <c r="CT140" s="63"/>
      <c r="CU140" s="63"/>
      <c r="CV140" s="63"/>
      <c r="CW140" s="63"/>
      <c r="CX140" s="63"/>
      <c r="CY140" s="63"/>
      <c r="CZ140" s="57"/>
    </row>
    <row r="141">
      <c r="A141" s="64"/>
    </row>
    <row r="142">
      <c r="A142" s="65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</row>
    <row r="148">
      <c r="A148" s="53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  <c r="CV148" s="62"/>
      <c r="CW148" s="62"/>
      <c r="CX148" s="15"/>
      <c r="CY148" s="15"/>
      <c r="CZ148" s="15"/>
    </row>
    <row r="149">
      <c r="A149" s="66"/>
      <c r="B149" s="66"/>
      <c r="C149" s="66"/>
      <c r="D149" s="66"/>
      <c r="E149" s="66"/>
      <c r="F149" s="66"/>
      <c r="G149" s="15"/>
      <c r="H149" s="15"/>
      <c r="I149" s="15"/>
      <c r="J149" s="15"/>
      <c r="K149" s="15"/>
      <c r="L149" s="66"/>
      <c r="M149" s="66"/>
      <c r="N149" s="57"/>
      <c r="O149" s="15"/>
      <c r="P149" s="15"/>
      <c r="Q149" s="67"/>
      <c r="R149" s="68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</row>
    <row r="150">
      <c r="A150" s="69"/>
      <c r="B150" s="57"/>
      <c r="C150" s="63"/>
      <c r="D150" s="63"/>
      <c r="E150" s="57"/>
      <c r="F150" s="57"/>
      <c r="G150" s="15"/>
      <c r="H150" s="15"/>
      <c r="I150" s="15"/>
      <c r="J150" s="15"/>
      <c r="K150" s="15"/>
      <c r="L150" s="69"/>
      <c r="M150" s="63"/>
      <c r="N150" s="57"/>
      <c r="O150" s="15"/>
      <c r="P150" s="15"/>
      <c r="Q150" s="67"/>
      <c r="R150" s="68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</row>
    <row r="151">
      <c r="A151" s="69"/>
      <c r="B151" s="57"/>
      <c r="C151" s="63"/>
      <c r="D151" s="63"/>
      <c r="E151" s="57"/>
      <c r="F151" s="57"/>
      <c r="G151" s="15"/>
      <c r="H151" s="15"/>
      <c r="I151" s="15"/>
      <c r="J151" s="15"/>
      <c r="K151" s="15"/>
      <c r="L151" s="69"/>
      <c r="M151" s="63"/>
      <c r="N151" s="57"/>
      <c r="O151" s="15"/>
      <c r="P151" s="15"/>
      <c r="Q151" s="67"/>
      <c r="R151" s="68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</row>
    <row r="152">
      <c r="A152" s="69"/>
      <c r="B152" s="57"/>
      <c r="C152" s="63"/>
      <c r="D152" s="63"/>
      <c r="E152" s="57"/>
      <c r="F152" s="58"/>
      <c r="G152" s="53"/>
      <c r="H152" s="53"/>
      <c r="I152" s="53"/>
      <c r="J152" s="53"/>
      <c r="K152" s="53"/>
      <c r="L152" s="63"/>
      <c r="M152" s="63"/>
      <c r="N152" s="58"/>
      <c r="O152" s="53"/>
      <c r="P152" s="53"/>
      <c r="Q152" s="68"/>
      <c r="R152" s="68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15"/>
      <c r="CW152" s="15"/>
      <c r="CX152" s="15"/>
      <c r="CY152" s="15"/>
      <c r="CZ152" s="15"/>
    </row>
    <row r="153">
      <c r="A153" s="69"/>
      <c r="B153" s="57"/>
      <c r="C153" s="63"/>
      <c r="D153" s="63"/>
      <c r="E153" s="57"/>
      <c r="F153" s="57"/>
      <c r="G153" s="15"/>
      <c r="H153" s="15"/>
      <c r="I153" s="15"/>
      <c r="J153" s="15"/>
      <c r="K153" s="15"/>
      <c r="L153" s="69"/>
      <c r="M153" s="63"/>
      <c r="N153" s="57"/>
      <c r="O153" s="15"/>
      <c r="P153" s="15"/>
      <c r="Q153" s="67"/>
      <c r="R153" s="68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</row>
    <row r="154">
      <c r="A154" s="69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  <c r="CV154" s="62"/>
      <c r="CW154" s="62"/>
      <c r="CX154" s="15"/>
      <c r="CY154" s="15"/>
      <c r="CZ154" s="15"/>
    </row>
    <row r="155">
      <c r="A155" s="69"/>
      <c r="B155" s="57"/>
      <c r="C155" s="63"/>
      <c r="D155" s="63"/>
      <c r="E155" s="57"/>
      <c r="F155" s="57"/>
      <c r="G155" s="15"/>
      <c r="H155" s="15"/>
      <c r="I155" s="15"/>
      <c r="J155" s="15"/>
      <c r="K155" s="15"/>
      <c r="L155" s="69"/>
      <c r="M155" s="63"/>
      <c r="N155" s="57"/>
      <c r="O155" s="15"/>
      <c r="P155" s="15"/>
      <c r="Q155" s="67"/>
      <c r="R155" s="68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</row>
    <row r="156">
      <c r="A156" s="69"/>
      <c r="B156" s="57"/>
      <c r="C156" s="63"/>
      <c r="D156" s="63"/>
      <c r="E156" s="57"/>
      <c r="F156" s="57"/>
      <c r="G156" s="15"/>
      <c r="H156" s="15"/>
      <c r="I156" s="15"/>
      <c r="J156" s="15"/>
      <c r="K156" s="15"/>
      <c r="L156" s="69"/>
      <c r="M156" s="63"/>
      <c r="N156" s="57"/>
      <c r="O156" s="15"/>
      <c r="P156" s="15"/>
      <c r="Q156" s="67"/>
      <c r="R156" s="68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</row>
    <row r="157">
      <c r="A157" s="69"/>
      <c r="B157" s="57"/>
      <c r="C157" s="63"/>
      <c r="D157" s="63"/>
      <c r="E157" s="57"/>
      <c r="F157" s="57"/>
      <c r="G157" s="15"/>
      <c r="H157" s="15"/>
      <c r="I157" s="15"/>
      <c r="J157" s="15"/>
      <c r="K157" s="15"/>
      <c r="L157" s="69"/>
      <c r="M157" s="63"/>
      <c r="N157" s="57"/>
      <c r="O157" s="15"/>
      <c r="P157" s="15"/>
      <c r="Q157" s="67"/>
      <c r="R157" s="68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</row>
    <row r="158">
      <c r="A158" s="69"/>
      <c r="B158" s="57"/>
      <c r="C158" s="63"/>
      <c r="D158" s="63"/>
      <c r="E158" s="57"/>
      <c r="F158" s="57"/>
      <c r="G158" s="15"/>
      <c r="H158" s="15"/>
      <c r="I158" s="15"/>
      <c r="J158" s="15"/>
      <c r="K158" s="15"/>
      <c r="L158" s="69"/>
      <c r="M158" s="63"/>
      <c r="N158" s="57"/>
      <c r="O158" s="15"/>
      <c r="P158" s="15"/>
      <c r="Q158" s="67"/>
      <c r="R158" s="68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</row>
    <row r="159">
      <c r="A159" s="69"/>
      <c r="B159" s="57"/>
      <c r="C159" s="63"/>
      <c r="D159" s="63"/>
      <c r="E159" s="57"/>
      <c r="F159" s="57"/>
      <c r="G159" s="15"/>
      <c r="H159" s="15"/>
      <c r="I159" s="15"/>
      <c r="J159" s="15"/>
      <c r="K159" s="15"/>
      <c r="L159" s="69"/>
      <c r="M159" s="63"/>
      <c r="N159" s="57"/>
      <c r="O159" s="15"/>
      <c r="P159" s="15"/>
      <c r="Q159" s="67"/>
      <c r="R159" s="68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</row>
    <row r="160">
      <c r="A160" s="69"/>
      <c r="B160" s="57"/>
      <c r="C160" s="63"/>
      <c r="D160" s="63"/>
      <c r="E160" s="57"/>
      <c r="F160" s="57"/>
      <c r="G160" s="15"/>
      <c r="H160" s="15"/>
      <c r="I160" s="15"/>
      <c r="J160" s="15"/>
      <c r="K160" s="15"/>
      <c r="L160" s="69"/>
      <c r="M160" s="63"/>
      <c r="N160" s="57"/>
      <c r="O160" s="15"/>
      <c r="P160" s="15"/>
      <c r="Q160" s="67"/>
      <c r="R160" s="68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</row>
    <row r="161">
      <c r="A161" s="69"/>
      <c r="B161" s="57"/>
      <c r="C161" s="63"/>
      <c r="D161" s="63"/>
      <c r="E161" s="57"/>
      <c r="F161" s="57"/>
      <c r="G161" s="15"/>
      <c r="H161" s="15"/>
      <c r="I161" s="15"/>
      <c r="J161" s="15"/>
      <c r="K161" s="15"/>
      <c r="L161" s="69"/>
      <c r="M161" s="63"/>
      <c r="N161" s="57"/>
      <c r="O161" s="15"/>
      <c r="P161" s="15"/>
      <c r="Q161" s="67"/>
      <c r="R161" s="68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</row>
    <row r="162">
      <c r="A162" s="69"/>
      <c r="B162" s="57"/>
      <c r="C162" s="63"/>
      <c r="D162" s="63"/>
      <c r="E162" s="57"/>
      <c r="F162" s="57"/>
      <c r="G162" s="15"/>
      <c r="H162" s="15"/>
      <c r="I162" s="15"/>
      <c r="J162" s="15"/>
      <c r="K162" s="15"/>
      <c r="L162" s="69"/>
      <c r="M162" s="63"/>
      <c r="N162" s="57"/>
      <c r="O162" s="15"/>
      <c r="P162" s="15"/>
      <c r="Q162" s="67"/>
      <c r="R162" s="68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</row>
    <row r="163">
      <c r="A163" s="69"/>
      <c r="B163" s="57"/>
      <c r="C163" s="63"/>
      <c r="D163" s="63"/>
      <c r="E163" s="57"/>
      <c r="F163" s="57"/>
      <c r="G163" s="15"/>
      <c r="H163" s="15"/>
      <c r="I163" s="15"/>
      <c r="J163" s="15"/>
      <c r="K163" s="15"/>
      <c r="L163" s="69"/>
      <c r="M163" s="63"/>
      <c r="N163" s="57"/>
      <c r="O163" s="15"/>
      <c r="P163" s="15"/>
      <c r="Q163" s="67"/>
      <c r="R163" s="68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</row>
    <row r="164">
      <c r="A164" s="69"/>
      <c r="B164" s="57"/>
      <c r="C164" s="63"/>
      <c r="D164" s="63"/>
      <c r="E164" s="57"/>
      <c r="F164" s="57"/>
      <c r="G164" s="15"/>
      <c r="H164" s="15"/>
      <c r="I164" s="15"/>
      <c r="J164" s="15"/>
      <c r="K164" s="15"/>
      <c r="L164" s="69"/>
      <c r="M164" s="63"/>
      <c r="N164" s="57"/>
      <c r="O164" s="15"/>
      <c r="P164" s="15"/>
      <c r="Q164" s="67"/>
      <c r="R164" s="68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</row>
    <row r="165">
      <c r="A165" s="69"/>
      <c r="B165" s="57"/>
      <c r="C165" s="63"/>
      <c r="D165" s="63"/>
      <c r="E165" s="57"/>
      <c r="F165" s="57"/>
      <c r="G165" s="15"/>
      <c r="H165" s="15"/>
      <c r="I165" s="15"/>
      <c r="J165" s="15"/>
      <c r="K165" s="15"/>
      <c r="L165" s="69"/>
      <c r="M165" s="63"/>
      <c r="N165" s="57"/>
      <c r="O165" s="15"/>
      <c r="P165" s="15"/>
      <c r="Q165" s="67"/>
      <c r="R165" s="68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</row>
    <row r="166">
      <c r="A166" s="69"/>
      <c r="B166" s="57"/>
      <c r="C166" s="63"/>
      <c r="D166" s="63"/>
      <c r="E166" s="57"/>
      <c r="F166" s="57"/>
      <c r="G166" s="15"/>
      <c r="H166" s="15"/>
      <c r="I166" s="15"/>
      <c r="J166" s="15"/>
      <c r="K166" s="15"/>
      <c r="L166" s="69"/>
      <c r="M166" s="63"/>
      <c r="N166" s="57"/>
      <c r="O166" s="15"/>
      <c r="P166" s="15"/>
      <c r="Q166" s="67"/>
      <c r="R166" s="68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</row>
    <row r="167">
      <c r="A167" s="69"/>
      <c r="B167" s="57"/>
      <c r="C167" s="63"/>
      <c r="D167" s="63"/>
      <c r="E167" s="57"/>
      <c r="F167" s="57"/>
      <c r="G167" s="15"/>
      <c r="H167" s="15"/>
      <c r="I167" s="15"/>
      <c r="J167" s="15"/>
      <c r="K167" s="15"/>
      <c r="L167" s="69"/>
      <c r="M167" s="63"/>
      <c r="N167" s="57"/>
      <c r="O167" s="15"/>
      <c r="P167" s="15"/>
      <c r="Q167" s="67"/>
      <c r="R167" s="68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</row>
    <row r="168">
      <c r="A168" s="69"/>
      <c r="B168" s="57"/>
      <c r="C168" s="63"/>
      <c r="D168" s="63"/>
      <c r="E168" s="57"/>
      <c r="F168" s="57"/>
      <c r="G168" s="15"/>
      <c r="H168" s="15"/>
      <c r="I168" s="15"/>
      <c r="J168" s="15"/>
      <c r="K168" s="15"/>
      <c r="L168" s="69"/>
      <c r="M168" s="63"/>
      <c r="N168" s="57"/>
      <c r="O168" s="15"/>
      <c r="P168" s="15"/>
      <c r="Q168" s="67"/>
      <c r="R168" s="68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</row>
    <row r="169">
      <c r="A169" s="69"/>
      <c r="B169" s="57"/>
      <c r="C169" s="63"/>
      <c r="D169" s="63"/>
      <c r="E169" s="57"/>
      <c r="F169" s="57"/>
      <c r="G169" s="15"/>
      <c r="H169" s="15"/>
      <c r="I169" s="15"/>
      <c r="J169" s="15"/>
      <c r="K169" s="15"/>
      <c r="L169" s="69"/>
      <c r="M169" s="63"/>
      <c r="N169" s="57"/>
      <c r="O169" s="15"/>
      <c r="P169" s="15"/>
      <c r="Q169" s="67"/>
      <c r="R169" s="68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</row>
    <row r="170">
      <c r="A170" s="69"/>
      <c r="B170" s="57"/>
      <c r="C170" s="63"/>
      <c r="D170" s="63"/>
      <c r="E170" s="57"/>
      <c r="F170" s="57"/>
      <c r="G170" s="15"/>
      <c r="H170" s="15"/>
      <c r="I170" s="15"/>
      <c r="J170" s="15"/>
      <c r="K170" s="15"/>
      <c r="L170" s="69"/>
      <c r="M170" s="63"/>
      <c r="N170" s="57"/>
      <c r="O170" s="15"/>
      <c r="P170" s="15"/>
      <c r="Q170" s="67"/>
      <c r="R170" s="68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</row>
    <row r="171">
      <c r="A171" s="69"/>
      <c r="B171" s="57"/>
      <c r="C171" s="63"/>
      <c r="D171" s="63"/>
      <c r="E171" s="57"/>
      <c r="F171" s="57"/>
      <c r="G171" s="15"/>
      <c r="H171" s="15"/>
      <c r="I171" s="15"/>
      <c r="J171" s="15"/>
      <c r="K171" s="15"/>
      <c r="L171" s="69"/>
      <c r="M171" s="63"/>
      <c r="N171" s="57"/>
      <c r="O171" s="15"/>
      <c r="P171" s="15"/>
      <c r="Q171" s="67"/>
      <c r="R171" s="68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</row>
    <row r="172">
      <c r="A172" s="69"/>
      <c r="B172" s="57"/>
      <c r="C172" s="63"/>
      <c r="D172" s="63"/>
      <c r="E172" s="57"/>
      <c r="F172" s="57"/>
      <c r="G172" s="15"/>
      <c r="H172" s="15"/>
      <c r="I172" s="15"/>
      <c r="J172" s="15"/>
      <c r="K172" s="15"/>
      <c r="L172" s="69"/>
      <c r="M172" s="63"/>
      <c r="N172" s="57"/>
      <c r="O172" s="15"/>
      <c r="P172" s="15"/>
      <c r="Q172" s="67"/>
      <c r="R172" s="68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</row>
    <row r="173">
      <c r="A173" s="69"/>
      <c r="B173" s="57"/>
      <c r="C173" s="63"/>
      <c r="D173" s="63"/>
      <c r="E173" s="57"/>
      <c r="F173" s="57"/>
      <c r="G173" s="15"/>
      <c r="H173" s="15"/>
      <c r="I173" s="15"/>
      <c r="J173" s="15"/>
      <c r="K173" s="15"/>
      <c r="L173" s="69"/>
      <c r="M173" s="63"/>
      <c r="N173" s="57"/>
      <c r="O173" s="15"/>
      <c r="P173" s="15"/>
      <c r="Q173" s="67"/>
      <c r="R173" s="68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</row>
    <row r="174">
      <c r="A174" s="69"/>
      <c r="B174" s="57"/>
      <c r="C174" s="63"/>
      <c r="D174" s="63"/>
      <c r="E174" s="57"/>
      <c r="F174" s="57"/>
      <c r="G174" s="15"/>
      <c r="H174" s="15"/>
      <c r="I174" s="15"/>
      <c r="J174" s="15"/>
      <c r="K174" s="15"/>
      <c r="L174" s="69"/>
      <c r="M174" s="63"/>
      <c r="N174" s="57"/>
      <c r="O174" s="15"/>
      <c r="P174" s="15"/>
      <c r="Q174" s="67"/>
      <c r="R174" s="68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</row>
    <row r="175">
      <c r="A175" s="69"/>
      <c r="B175" s="57"/>
      <c r="C175" s="63"/>
      <c r="D175" s="63"/>
      <c r="E175" s="57"/>
      <c r="F175" s="57"/>
      <c r="G175" s="15"/>
      <c r="H175" s="15"/>
      <c r="I175" s="15"/>
      <c r="J175" s="15"/>
      <c r="K175" s="15"/>
      <c r="L175" s="69"/>
      <c r="M175" s="63"/>
      <c r="N175" s="57"/>
      <c r="O175" s="15"/>
      <c r="P175" s="15"/>
      <c r="Q175" s="67"/>
      <c r="R175" s="68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</row>
    <row r="176">
      <c r="A176" s="69"/>
      <c r="B176" s="57"/>
      <c r="C176" s="63"/>
      <c r="D176" s="63"/>
      <c r="E176" s="57"/>
      <c r="F176" s="57"/>
      <c r="G176" s="15"/>
      <c r="H176" s="15"/>
      <c r="I176" s="15"/>
      <c r="J176" s="15"/>
      <c r="K176" s="15"/>
      <c r="L176" s="69"/>
      <c r="M176" s="63"/>
      <c r="N176" s="57"/>
      <c r="O176" s="15"/>
      <c r="P176" s="15"/>
      <c r="Q176" s="67"/>
      <c r="R176" s="68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</row>
    <row r="177">
      <c r="A177" s="69"/>
      <c r="B177" s="57"/>
      <c r="C177" s="63"/>
      <c r="D177" s="63"/>
      <c r="E177" s="57"/>
      <c r="F177" s="57"/>
      <c r="G177" s="15"/>
      <c r="H177" s="15"/>
      <c r="I177" s="15"/>
      <c r="J177" s="15"/>
      <c r="K177" s="15"/>
      <c r="L177" s="69"/>
      <c r="M177" s="63"/>
      <c r="N177" s="57"/>
      <c r="O177" s="15"/>
      <c r="P177" s="15"/>
      <c r="Q177" s="67"/>
      <c r="R177" s="68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</row>
    <row r="178">
      <c r="A178" s="69"/>
      <c r="B178" s="57"/>
      <c r="C178" s="63"/>
      <c r="D178" s="63"/>
      <c r="E178" s="57"/>
      <c r="F178" s="57"/>
      <c r="G178" s="15"/>
      <c r="H178" s="15"/>
      <c r="I178" s="15"/>
      <c r="J178" s="15"/>
      <c r="K178" s="15"/>
      <c r="L178" s="69"/>
      <c r="M178" s="63"/>
      <c r="N178" s="57"/>
      <c r="O178" s="15"/>
      <c r="P178" s="15"/>
      <c r="Q178" s="67"/>
      <c r="R178" s="68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</row>
    <row r="179">
      <c r="A179" s="69"/>
      <c r="B179" s="57"/>
      <c r="C179" s="63"/>
      <c r="D179" s="63"/>
      <c r="E179" s="57"/>
      <c r="F179" s="57"/>
      <c r="G179" s="15"/>
      <c r="H179" s="15"/>
      <c r="I179" s="15"/>
      <c r="J179" s="15"/>
      <c r="K179" s="15"/>
      <c r="L179" s="69"/>
      <c r="M179" s="63"/>
      <c r="N179" s="57"/>
      <c r="O179" s="15"/>
      <c r="P179" s="15"/>
      <c r="Q179" s="67"/>
      <c r="R179" s="68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</row>
    <row r="180">
      <c r="A180" s="69"/>
      <c r="B180" s="57"/>
      <c r="C180" s="63"/>
      <c r="D180" s="63"/>
      <c r="E180" s="57"/>
      <c r="F180" s="57"/>
      <c r="G180" s="15"/>
      <c r="H180" s="15"/>
      <c r="I180" s="15"/>
      <c r="J180" s="15"/>
      <c r="K180" s="15"/>
      <c r="L180" s="69"/>
      <c r="M180" s="63"/>
      <c r="N180" s="57"/>
      <c r="O180" s="15"/>
      <c r="P180" s="15"/>
      <c r="Q180" s="67"/>
      <c r="R180" s="68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</row>
    <row r="181">
      <c r="A181" s="69"/>
      <c r="B181" s="57"/>
      <c r="C181" s="63"/>
      <c r="D181" s="63"/>
      <c r="E181" s="57"/>
      <c r="F181" s="57"/>
      <c r="G181" s="15"/>
      <c r="H181" s="15"/>
      <c r="I181" s="15"/>
      <c r="J181" s="15"/>
      <c r="K181" s="15"/>
      <c r="L181" s="69"/>
      <c r="M181" s="63"/>
      <c r="N181" s="57"/>
      <c r="O181" s="15"/>
      <c r="P181" s="15"/>
      <c r="Q181" s="67"/>
      <c r="R181" s="68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</row>
    <row r="182">
      <c r="A182" s="69"/>
      <c r="B182" s="57"/>
      <c r="C182" s="63"/>
      <c r="D182" s="63"/>
      <c r="E182" s="57"/>
      <c r="F182" s="57"/>
      <c r="G182" s="15"/>
      <c r="H182" s="15"/>
      <c r="I182" s="15"/>
      <c r="J182" s="15"/>
      <c r="K182" s="15"/>
      <c r="L182" s="69"/>
      <c r="M182" s="63"/>
      <c r="N182" s="57"/>
      <c r="O182" s="15"/>
      <c r="P182" s="15"/>
      <c r="Q182" s="67"/>
      <c r="R182" s="68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</row>
    <row r="183">
      <c r="A183" s="69"/>
      <c r="B183" s="57"/>
      <c r="C183" s="63"/>
      <c r="D183" s="63"/>
      <c r="E183" s="57"/>
      <c r="F183" s="57"/>
      <c r="G183" s="15"/>
      <c r="H183" s="15"/>
      <c r="I183" s="15"/>
      <c r="J183" s="15"/>
      <c r="K183" s="15"/>
      <c r="L183" s="69"/>
      <c r="M183" s="63"/>
      <c r="N183" s="57"/>
      <c r="O183" s="15"/>
      <c r="P183" s="15"/>
      <c r="Q183" s="67"/>
      <c r="R183" s="68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</row>
    <row r="184">
      <c r="A184" s="69"/>
      <c r="B184" s="57"/>
      <c r="C184" s="63"/>
      <c r="D184" s="63"/>
      <c r="E184" s="57"/>
      <c r="F184" s="57"/>
      <c r="G184" s="15"/>
      <c r="H184" s="15"/>
      <c r="I184" s="15"/>
      <c r="J184" s="15"/>
      <c r="K184" s="15"/>
      <c r="L184" s="69"/>
      <c r="M184" s="63"/>
      <c r="N184" s="57"/>
      <c r="O184" s="15"/>
      <c r="P184" s="15"/>
      <c r="Q184" s="67"/>
      <c r="R184" s="68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</row>
    <row r="185">
      <c r="A185" s="69"/>
      <c r="B185" s="57"/>
      <c r="C185" s="63"/>
      <c r="D185" s="63"/>
      <c r="E185" s="57"/>
      <c r="F185" s="57"/>
      <c r="G185" s="15"/>
      <c r="H185" s="15"/>
      <c r="I185" s="15"/>
      <c r="J185" s="15"/>
      <c r="K185" s="15"/>
      <c r="L185" s="69"/>
      <c r="M185" s="63"/>
      <c r="N185" s="57"/>
      <c r="O185" s="15"/>
      <c r="P185" s="15"/>
      <c r="Q185" s="67"/>
      <c r="R185" s="68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</row>
    <row r="186">
      <c r="A186" s="69"/>
      <c r="B186" s="57"/>
      <c r="C186" s="63"/>
      <c r="D186" s="63"/>
      <c r="E186" s="57"/>
      <c r="F186" s="57"/>
      <c r="G186" s="15"/>
      <c r="H186" s="15"/>
      <c r="I186" s="15"/>
      <c r="J186" s="15"/>
      <c r="K186" s="15"/>
      <c r="L186" s="69"/>
      <c r="M186" s="63"/>
      <c r="N186" s="57"/>
      <c r="O186" s="15"/>
      <c r="P186" s="15"/>
      <c r="Q186" s="67"/>
      <c r="R186" s="68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</row>
    <row r="187">
      <c r="A187" s="69"/>
      <c r="B187" s="57"/>
      <c r="C187" s="63"/>
      <c r="D187" s="63"/>
      <c r="E187" s="57"/>
      <c r="F187" s="57"/>
      <c r="G187" s="15"/>
      <c r="H187" s="15"/>
      <c r="I187" s="15"/>
      <c r="J187" s="15"/>
      <c r="K187" s="15"/>
      <c r="L187" s="69"/>
      <c r="M187" s="63"/>
      <c r="N187" s="57"/>
      <c r="O187" s="15"/>
      <c r="P187" s="15"/>
      <c r="Q187" s="67"/>
      <c r="R187" s="68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</row>
    <row r="188">
      <c r="A188" s="69"/>
      <c r="B188" s="57"/>
      <c r="C188" s="63"/>
      <c r="D188" s="63"/>
      <c r="E188" s="57"/>
      <c r="F188" s="57"/>
      <c r="G188" s="15"/>
      <c r="H188" s="15"/>
      <c r="I188" s="15"/>
      <c r="J188" s="15"/>
      <c r="K188" s="15"/>
      <c r="L188" s="69"/>
      <c r="M188" s="63"/>
      <c r="N188" s="57"/>
      <c r="O188" s="15"/>
      <c r="P188" s="15"/>
      <c r="Q188" s="67"/>
      <c r="R188" s="68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</row>
    <row r="189">
      <c r="A189" s="69"/>
      <c r="B189" s="57"/>
      <c r="C189" s="63"/>
      <c r="D189" s="63"/>
      <c r="E189" s="57"/>
      <c r="F189" s="57"/>
      <c r="G189" s="15"/>
      <c r="H189" s="15"/>
      <c r="I189" s="15"/>
      <c r="J189" s="15"/>
      <c r="K189" s="15"/>
      <c r="L189" s="69"/>
      <c r="M189" s="63"/>
      <c r="N189" s="57"/>
      <c r="O189" s="15"/>
      <c r="P189" s="15"/>
      <c r="Q189" s="67"/>
      <c r="R189" s="68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</row>
    <row r="190">
      <c r="A190" s="69"/>
      <c r="B190" s="57"/>
      <c r="C190" s="63"/>
      <c r="D190" s="63"/>
      <c r="E190" s="57"/>
      <c r="F190" s="57"/>
      <c r="G190" s="15"/>
      <c r="H190" s="15"/>
      <c r="I190" s="15"/>
      <c r="J190" s="15"/>
      <c r="K190" s="15"/>
      <c r="L190" s="69"/>
      <c r="M190" s="63"/>
      <c r="N190" s="57"/>
      <c r="O190" s="15"/>
      <c r="P190" s="15"/>
      <c r="Q190" s="67"/>
      <c r="R190" s="68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</row>
    <row r="191">
      <c r="A191" s="69"/>
      <c r="B191" s="57"/>
      <c r="C191" s="63"/>
      <c r="D191" s="63"/>
      <c r="E191" s="57"/>
      <c r="F191" s="57"/>
      <c r="G191" s="15"/>
      <c r="H191" s="15"/>
      <c r="I191" s="15"/>
      <c r="J191" s="15"/>
      <c r="K191" s="15"/>
      <c r="L191" s="69"/>
      <c r="M191" s="63"/>
      <c r="N191" s="57"/>
      <c r="O191" s="15"/>
      <c r="P191" s="15"/>
      <c r="Q191" s="67"/>
      <c r="R191" s="68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</row>
    <row r="192">
      <c r="A192" s="69"/>
      <c r="B192" s="57"/>
      <c r="C192" s="63"/>
      <c r="D192" s="63"/>
      <c r="E192" s="57"/>
      <c r="F192" s="57"/>
      <c r="G192" s="15"/>
      <c r="H192" s="15"/>
      <c r="I192" s="15"/>
      <c r="J192" s="15"/>
      <c r="K192" s="15"/>
      <c r="L192" s="69"/>
      <c r="M192" s="63"/>
      <c r="N192" s="57"/>
      <c r="O192" s="15"/>
      <c r="P192" s="15"/>
      <c r="Q192" s="67"/>
      <c r="R192" s="68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</row>
    <row r="193">
      <c r="A193" s="69"/>
      <c r="B193" s="57"/>
      <c r="C193" s="63"/>
      <c r="D193" s="63"/>
      <c r="E193" s="57"/>
      <c r="F193" s="57"/>
      <c r="G193" s="15"/>
      <c r="H193" s="15"/>
      <c r="I193" s="15"/>
      <c r="J193" s="15"/>
      <c r="K193" s="15"/>
      <c r="L193" s="69"/>
      <c r="M193" s="63"/>
      <c r="N193" s="57"/>
      <c r="O193" s="15"/>
      <c r="P193" s="15"/>
      <c r="Q193" s="67"/>
      <c r="R193" s="68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</row>
    <row r="194">
      <c r="A194" s="69"/>
      <c r="B194" s="57"/>
      <c r="C194" s="63"/>
      <c r="D194" s="63"/>
      <c r="E194" s="57"/>
      <c r="F194" s="57"/>
      <c r="G194" s="15"/>
      <c r="H194" s="15"/>
      <c r="I194" s="15"/>
      <c r="J194" s="15"/>
      <c r="K194" s="15"/>
      <c r="L194" s="69"/>
      <c r="M194" s="63"/>
      <c r="N194" s="57"/>
      <c r="O194" s="15"/>
      <c r="P194" s="15"/>
      <c r="Q194" s="67"/>
      <c r="R194" s="68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</row>
    <row r="195">
      <c r="A195" s="69"/>
      <c r="B195" s="57"/>
      <c r="C195" s="63"/>
      <c r="D195" s="63"/>
      <c r="E195" s="57"/>
      <c r="F195" s="57"/>
      <c r="G195" s="15"/>
      <c r="H195" s="15"/>
      <c r="I195" s="15"/>
      <c r="J195" s="15"/>
      <c r="K195" s="15"/>
      <c r="L195" s="69"/>
      <c r="M195" s="63"/>
      <c r="N195" s="57"/>
      <c r="O195" s="15"/>
      <c r="P195" s="15"/>
      <c r="Q195" s="67"/>
      <c r="R195" s="68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</row>
    <row r="196">
      <c r="A196" s="69"/>
      <c r="B196" s="57"/>
      <c r="C196" s="63"/>
      <c r="D196" s="63"/>
      <c r="E196" s="57"/>
      <c r="F196" s="57"/>
      <c r="G196" s="15"/>
      <c r="H196" s="15"/>
      <c r="I196" s="15"/>
      <c r="J196" s="15"/>
      <c r="K196" s="15"/>
      <c r="L196" s="69"/>
      <c r="M196" s="63"/>
      <c r="N196" s="57"/>
      <c r="O196" s="15"/>
      <c r="P196" s="15"/>
      <c r="Q196" s="67"/>
      <c r="R196" s="68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</row>
    <row r="197">
      <c r="A197" s="69"/>
      <c r="B197" s="57"/>
      <c r="C197" s="63"/>
      <c r="D197" s="63"/>
      <c r="E197" s="57"/>
      <c r="F197" s="57"/>
      <c r="G197" s="15"/>
      <c r="H197" s="15"/>
      <c r="I197" s="15"/>
      <c r="J197" s="15"/>
      <c r="K197" s="15"/>
      <c r="L197" s="69"/>
      <c r="M197" s="63"/>
      <c r="N197" s="57"/>
      <c r="O197" s="15"/>
      <c r="P197" s="15"/>
      <c r="Q197" s="67"/>
      <c r="R197" s="68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</row>
    <row r="198">
      <c r="A198" s="69"/>
      <c r="B198" s="57"/>
      <c r="C198" s="63"/>
      <c r="D198" s="63"/>
      <c r="E198" s="57"/>
      <c r="F198" s="57"/>
      <c r="G198" s="15"/>
      <c r="H198" s="15"/>
      <c r="I198" s="15"/>
      <c r="J198" s="15"/>
      <c r="K198" s="15"/>
      <c r="L198" s="69"/>
      <c r="M198" s="63"/>
      <c r="N198" s="57"/>
      <c r="O198" s="15"/>
      <c r="P198" s="15"/>
      <c r="Q198" s="67"/>
      <c r="R198" s="68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</row>
    <row r="199">
      <c r="A199" s="69"/>
      <c r="B199" s="57"/>
      <c r="C199" s="63"/>
      <c r="D199" s="63"/>
      <c r="E199" s="57"/>
      <c r="F199" s="57"/>
      <c r="G199" s="15"/>
      <c r="H199" s="15"/>
      <c r="I199" s="15"/>
      <c r="J199" s="15"/>
      <c r="K199" s="15"/>
      <c r="L199" s="69"/>
      <c r="M199" s="63"/>
      <c r="N199" s="57"/>
      <c r="O199" s="15"/>
      <c r="P199" s="15"/>
      <c r="Q199" s="67"/>
      <c r="R199" s="68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</row>
    <row r="200">
      <c r="A200" s="69"/>
      <c r="B200" s="57"/>
      <c r="C200" s="63"/>
      <c r="D200" s="63"/>
      <c r="E200" s="57"/>
      <c r="F200" s="57"/>
      <c r="G200" s="15"/>
      <c r="H200" s="15"/>
      <c r="I200" s="15"/>
      <c r="J200" s="15"/>
      <c r="K200" s="15"/>
      <c r="L200" s="69"/>
      <c r="M200" s="63"/>
      <c r="N200" s="57"/>
      <c r="O200" s="15"/>
      <c r="P200" s="15"/>
      <c r="Q200" s="67"/>
      <c r="R200" s="68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</row>
    <row r="201">
      <c r="A201" s="69"/>
      <c r="B201" s="57"/>
      <c r="C201" s="63"/>
      <c r="D201" s="63"/>
      <c r="E201" s="57"/>
      <c r="F201" s="57"/>
      <c r="G201" s="15"/>
      <c r="H201" s="15"/>
      <c r="I201" s="15"/>
      <c r="J201" s="15"/>
      <c r="K201" s="15"/>
      <c r="L201" s="69"/>
      <c r="M201" s="63"/>
      <c r="N201" s="57"/>
      <c r="O201" s="15"/>
      <c r="P201" s="15"/>
      <c r="Q201" s="67"/>
      <c r="R201" s="68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</row>
    <row r="202">
      <c r="A202" s="69"/>
      <c r="B202" s="57"/>
      <c r="C202" s="63"/>
      <c r="D202" s="63"/>
      <c r="E202" s="57"/>
      <c r="F202" s="57"/>
      <c r="G202" s="15"/>
      <c r="H202" s="15"/>
      <c r="I202" s="15"/>
      <c r="J202" s="15"/>
      <c r="K202" s="15"/>
      <c r="L202" s="69"/>
      <c r="M202" s="63"/>
      <c r="N202" s="57"/>
      <c r="O202" s="15"/>
      <c r="P202" s="15"/>
      <c r="Q202" s="67"/>
      <c r="R202" s="68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</row>
    <row r="203">
      <c r="A203" s="69"/>
      <c r="B203" s="57"/>
      <c r="C203" s="63"/>
      <c r="D203" s="63"/>
      <c r="E203" s="57"/>
      <c r="F203" s="57"/>
      <c r="G203" s="15"/>
      <c r="H203" s="15"/>
      <c r="I203" s="15"/>
      <c r="J203" s="15"/>
      <c r="K203" s="15"/>
      <c r="L203" s="69"/>
      <c r="M203" s="63"/>
      <c r="N203" s="57"/>
      <c r="O203" s="15"/>
      <c r="P203" s="15"/>
      <c r="Q203" s="67"/>
      <c r="R203" s="68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</row>
    <row r="204">
      <c r="A204" s="69"/>
      <c r="B204" s="57"/>
      <c r="C204" s="63"/>
      <c r="D204" s="63"/>
      <c r="E204" s="57"/>
      <c r="F204" s="57"/>
      <c r="G204" s="15"/>
      <c r="H204" s="15"/>
      <c r="I204" s="15"/>
      <c r="J204" s="15"/>
      <c r="K204" s="15"/>
      <c r="L204" s="69"/>
      <c r="M204" s="63"/>
      <c r="N204" s="57"/>
      <c r="O204" s="15"/>
      <c r="P204" s="15"/>
      <c r="Q204" s="67"/>
      <c r="R204" s="68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</row>
    <row r="205">
      <c r="A205" s="69"/>
      <c r="B205" s="57"/>
      <c r="C205" s="63"/>
      <c r="D205" s="63"/>
      <c r="E205" s="57"/>
      <c r="F205" s="57"/>
      <c r="G205" s="15"/>
      <c r="H205" s="15"/>
      <c r="I205" s="15"/>
      <c r="J205" s="15"/>
      <c r="K205" s="15"/>
      <c r="L205" s="69"/>
      <c r="M205" s="63"/>
      <c r="N205" s="57"/>
      <c r="O205" s="15"/>
      <c r="P205" s="15"/>
      <c r="Q205" s="67"/>
      <c r="R205" s="68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</row>
    <row r="206">
      <c r="A206" s="69"/>
      <c r="B206" s="57"/>
      <c r="C206" s="63"/>
      <c r="D206" s="63"/>
      <c r="E206" s="57"/>
      <c r="F206" s="57"/>
      <c r="G206" s="15"/>
      <c r="H206" s="15"/>
      <c r="I206" s="15"/>
      <c r="J206" s="15"/>
      <c r="K206" s="15"/>
      <c r="L206" s="69"/>
      <c r="M206" s="63"/>
      <c r="N206" s="57"/>
      <c r="O206" s="15"/>
      <c r="P206" s="15"/>
      <c r="Q206" s="67"/>
      <c r="R206" s="68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</row>
    <row r="207">
      <c r="A207" s="69"/>
      <c r="B207" s="57"/>
      <c r="C207" s="63"/>
      <c r="D207" s="63"/>
      <c r="E207" s="57"/>
      <c r="F207" s="57"/>
      <c r="G207" s="15"/>
      <c r="H207" s="15"/>
      <c r="I207" s="15"/>
      <c r="J207" s="15"/>
      <c r="K207" s="15"/>
      <c r="L207" s="69"/>
      <c r="M207" s="63"/>
      <c r="N207" s="57"/>
      <c r="O207" s="15"/>
      <c r="P207" s="15"/>
      <c r="Q207" s="67"/>
      <c r="R207" s="68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</row>
    <row r="208">
      <c r="A208" s="69"/>
      <c r="B208" s="57"/>
      <c r="C208" s="63"/>
      <c r="D208" s="63"/>
      <c r="E208" s="57"/>
      <c r="F208" s="57"/>
      <c r="G208" s="15"/>
      <c r="H208" s="15"/>
      <c r="I208" s="15"/>
      <c r="J208" s="15"/>
      <c r="K208" s="15"/>
      <c r="L208" s="69"/>
      <c r="M208" s="63"/>
      <c r="N208" s="57"/>
      <c r="O208" s="15"/>
      <c r="P208" s="15"/>
      <c r="Q208" s="67"/>
      <c r="R208" s="68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</row>
    <row r="209">
      <c r="A209" s="69"/>
      <c r="B209" s="57"/>
      <c r="C209" s="63"/>
      <c r="D209" s="63"/>
      <c r="E209" s="57"/>
      <c r="F209" s="57"/>
      <c r="G209" s="15"/>
      <c r="H209" s="15"/>
      <c r="I209" s="15"/>
      <c r="J209" s="15"/>
      <c r="K209" s="15"/>
      <c r="L209" s="57"/>
      <c r="M209" s="57"/>
      <c r="N209" s="57"/>
      <c r="O209" s="15"/>
      <c r="P209" s="15"/>
      <c r="Q209" s="67"/>
      <c r="R209" s="68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</row>
    <row r="210">
      <c r="A210" s="69"/>
      <c r="B210" s="57"/>
      <c r="C210" s="63"/>
      <c r="D210" s="63"/>
      <c r="E210" s="57"/>
      <c r="F210" s="57"/>
      <c r="G210" s="15"/>
      <c r="H210" s="15"/>
      <c r="I210" s="15"/>
      <c r="J210" s="15"/>
      <c r="K210" s="15"/>
      <c r="L210" s="57"/>
      <c r="M210" s="57"/>
      <c r="N210" s="57"/>
      <c r="O210" s="15"/>
      <c r="P210" s="15"/>
      <c r="Q210" s="67"/>
      <c r="R210" s="68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</row>
    <row r="211">
      <c r="A211" s="69"/>
      <c r="B211" s="57"/>
      <c r="C211" s="63"/>
      <c r="D211" s="63"/>
      <c r="E211" s="57"/>
      <c r="F211" s="57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67"/>
      <c r="R211" s="68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</row>
    <row r="212">
      <c r="A212" s="69"/>
      <c r="B212" s="57"/>
      <c r="C212" s="63"/>
      <c r="D212" s="63"/>
      <c r="E212" s="57"/>
      <c r="F212" s="57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67"/>
      <c r="R212" s="68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</row>
    <row r="213">
      <c r="A213" s="69"/>
      <c r="B213" s="57"/>
      <c r="C213" s="63"/>
      <c r="D213" s="63"/>
      <c r="E213" s="57"/>
      <c r="F213" s="57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67"/>
      <c r="R213" s="68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</row>
    <row r="214">
      <c r="A214" s="69"/>
      <c r="B214" s="57"/>
      <c r="C214" s="63"/>
      <c r="D214" s="63"/>
      <c r="E214" s="57"/>
      <c r="F214" s="57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67"/>
      <c r="R214" s="68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</row>
    <row r="215">
      <c r="A215" s="69"/>
      <c r="B215" s="57"/>
      <c r="C215" s="63"/>
      <c r="D215" s="63"/>
      <c r="E215" s="57"/>
      <c r="F215" s="57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67"/>
      <c r="R215" s="68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</row>
    <row r="216">
      <c r="A216" s="69"/>
      <c r="B216" s="57"/>
      <c r="C216" s="63"/>
      <c r="D216" s="63"/>
      <c r="E216" s="57"/>
      <c r="F216" s="57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67"/>
      <c r="R216" s="68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</row>
    <row r="217">
      <c r="A217" s="69"/>
      <c r="B217" s="57"/>
      <c r="C217" s="63"/>
      <c r="D217" s="63"/>
      <c r="E217" s="57"/>
      <c r="F217" s="57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67"/>
      <c r="R217" s="68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</row>
    <row r="218">
      <c r="A218" s="69"/>
      <c r="B218" s="57"/>
      <c r="C218" s="63"/>
      <c r="D218" s="63"/>
      <c r="E218" s="57"/>
      <c r="F218" s="57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67"/>
      <c r="R218" s="68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</row>
    <row r="219">
      <c r="A219" s="69"/>
      <c r="B219" s="57"/>
      <c r="C219" s="63"/>
      <c r="D219" s="63"/>
      <c r="E219" s="57"/>
      <c r="F219" s="57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67"/>
      <c r="R219" s="68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</row>
    <row r="220">
      <c r="A220" s="69"/>
      <c r="B220" s="57"/>
      <c r="C220" s="63"/>
      <c r="D220" s="63"/>
      <c r="E220" s="57"/>
      <c r="F220" s="57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67"/>
      <c r="R220" s="68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</row>
    <row r="221">
      <c r="A221" s="69"/>
      <c r="B221" s="57"/>
      <c r="C221" s="63"/>
      <c r="D221" s="63"/>
      <c r="E221" s="57"/>
      <c r="F221" s="57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67"/>
      <c r="R221" s="68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</row>
    <row r="222">
      <c r="A222" s="69"/>
      <c r="B222" s="57"/>
      <c r="C222" s="63"/>
      <c r="D222" s="63"/>
      <c r="E222" s="57"/>
      <c r="F222" s="57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67"/>
      <c r="R222" s="68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</row>
    <row r="223">
      <c r="A223" s="69"/>
      <c r="B223" s="57"/>
      <c r="C223" s="63"/>
      <c r="D223" s="63"/>
      <c r="E223" s="57"/>
      <c r="F223" s="57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67"/>
      <c r="R223" s="68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</row>
    <row r="224">
      <c r="A224" s="69"/>
      <c r="B224" s="57"/>
      <c r="C224" s="63"/>
      <c r="D224" s="63"/>
      <c r="E224" s="57"/>
      <c r="F224" s="57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</row>
    <row r="225">
      <c r="A225" s="69"/>
      <c r="B225" s="57"/>
      <c r="C225" s="63"/>
      <c r="D225" s="63"/>
      <c r="E225" s="57"/>
      <c r="F225" s="57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</row>
    <row r="226">
      <c r="A226" s="69"/>
      <c r="B226" s="57"/>
      <c r="C226" s="63"/>
      <c r="D226" s="63"/>
      <c r="E226" s="57"/>
      <c r="F226" s="57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</row>
    <row r="227">
      <c r="A227" s="69"/>
      <c r="B227" s="57"/>
      <c r="C227" s="63"/>
      <c r="D227" s="63"/>
      <c r="E227" s="57"/>
      <c r="F227" s="57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</row>
    <row r="228">
      <c r="A228" s="69"/>
      <c r="B228" s="57"/>
      <c r="C228" s="63"/>
      <c r="D228" s="63"/>
      <c r="E228" s="57"/>
      <c r="F228" s="57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</row>
    <row r="229">
      <c r="A229" s="69"/>
      <c r="B229" s="57"/>
      <c r="C229" s="63"/>
      <c r="D229" s="63"/>
      <c r="E229" s="57"/>
      <c r="F229" s="57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</row>
    <row r="230">
      <c r="A230" s="69"/>
      <c r="B230" s="57"/>
      <c r="C230" s="63"/>
      <c r="D230" s="63"/>
      <c r="E230" s="57"/>
      <c r="F230" s="57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</row>
    <row r="231">
      <c r="A231" s="69"/>
      <c r="B231" s="57"/>
      <c r="C231" s="63"/>
      <c r="D231" s="63"/>
      <c r="E231" s="57"/>
      <c r="F231" s="57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</row>
    <row r="232">
      <c r="A232" s="69"/>
      <c r="B232" s="57"/>
      <c r="C232" s="63"/>
      <c r="D232" s="63"/>
      <c r="E232" s="57"/>
      <c r="F232" s="57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</row>
    <row r="233">
      <c r="A233" s="69"/>
      <c r="B233" s="57"/>
      <c r="C233" s="63"/>
      <c r="D233" s="63"/>
      <c r="E233" s="57"/>
      <c r="F233" s="57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</row>
    <row r="234">
      <c r="A234" s="69"/>
      <c r="B234" s="57"/>
      <c r="C234" s="63"/>
      <c r="D234" s="63"/>
      <c r="E234" s="57"/>
      <c r="F234" s="57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</row>
    <row r="235">
      <c r="A235" s="69"/>
      <c r="B235" s="57"/>
      <c r="C235" s="63"/>
      <c r="D235" s="63"/>
      <c r="E235" s="57"/>
      <c r="F235" s="57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</row>
    <row r="236">
      <c r="A236" s="69"/>
      <c r="B236" s="57"/>
      <c r="C236" s="63"/>
      <c r="D236" s="63"/>
      <c r="E236" s="57"/>
      <c r="F236" s="57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</row>
    <row r="237">
      <c r="A237" s="69"/>
      <c r="B237" s="57"/>
      <c r="C237" s="63"/>
      <c r="D237" s="63"/>
      <c r="E237" s="57"/>
      <c r="F237" s="57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</row>
    <row r="238">
      <c r="A238" s="69"/>
      <c r="B238" s="57"/>
      <c r="C238" s="63"/>
      <c r="D238" s="63"/>
      <c r="E238" s="57"/>
      <c r="F238" s="57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</row>
    <row r="239">
      <c r="A239" s="69"/>
      <c r="B239" s="57"/>
      <c r="C239" s="63"/>
      <c r="D239" s="63"/>
      <c r="E239" s="57"/>
      <c r="F239" s="57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</row>
    <row r="240">
      <c r="A240" s="69"/>
      <c r="B240" s="57"/>
      <c r="C240" s="63"/>
      <c r="D240" s="63"/>
      <c r="E240" s="57"/>
      <c r="F240" s="57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</row>
    <row r="241">
      <c r="A241" s="69"/>
      <c r="B241" s="57"/>
      <c r="C241" s="63"/>
      <c r="D241" s="63"/>
      <c r="E241" s="57"/>
      <c r="F241" s="57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</row>
    <row r="242">
      <c r="A242" s="69"/>
      <c r="B242" s="57"/>
      <c r="C242" s="63"/>
      <c r="D242" s="63"/>
      <c r="E242" s="57"/>
      <c r="F242" s="57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</row>
    <row r="243">
      <c r="A243" s="69"/>
      <c r="B243" s="57"/>
      <c r="C243" s="63"/>
      <c r="D243" s="63"/>
      <c r="E243" s="57"/>
      <c r="F243" s="57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</row>
    <row r="244">
      <c r="A244" s="69"/>
      <c r="B244" s="57"/>
      <c r="C244" s="63"/>
      <c r="D244" s="63"/>
      <c r="E244" s="57"/>
      <c r="F244" s="57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</row>
    <row r="245">
      <c r="A245" s="69"/>
      <c r="B245" s="57"/>
      <c r="C245" s="63"/>
      <c r="D245" s="63"/>
      <c r="E245" s="57"/>
      <c r="F245" s="57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</row>
    <row r="246">
      <c r="A246" s="69"/>
      <c r="B246" s="57"/>
      <c r="C246" s="63"/>
      <c r="D246" s="63"/>
      <c r="E246" s="57"/>
      <c r="F246" s="57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</row>
    <row r="247">
      <c r="A247" s="69"/>
      <c r="B247" s="57"/>
      <c r="C247" s="63"/>
      <c r="D247" s="63"/>
      <c r="E247" s="57"/>
      <c r="F247" s="57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</row>
    <row r="248">
      <c r="A248" s="69"/>
      <c r="B248" s="57"/>
      <c r="C248" s="63"/>
      <c r="D248" s="63"/>
      <c r="E248" s="57"/>
      <c r="F248" s="57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</row>
    <row r="249">
      <c r="A249" s="69"/>
      <c r="B249" s="57"/>
      <c r="C249" s="63"/>
      <c r="D249" s="63"/>
      <c r="E249" s="57"/>
      <c r="F249" s="57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</row>
    <row r="250">
      <c r="A250" s="69"/>
      <c r="B250" s="57"/>
      <c r="C250" s="63"/>
      <c r="D250" s="63"/>
      <c r="E250" s="57"/>
      <c r="F250" s="57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</row>
    <row r="251">
      <c r="A251" s="69"/>
      <c r="B251" s="57"/>
      <c r="C251" s="63"/>
      <c r="D251" s="63"/>
      <c r="E251" s="57"/>
      <c r="F251" s="57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</row>
    <row r="252">
      <c r="A252" s="69"/>
      <c r="B252" s="57"/>
      <c r="C252" s="63"/>
      <c r="D252" s="63"/>
      <c r="E252" s="57"/>
      <c r="F252" s="57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</row>
    <row r="253">
      <c r="A253" s="69"/>
      <c r="B253" s="57"/>
      <c r="C253" s="63"/>
      <c r="D253" s="63"/>
      <c r="E253" s="57"/>
      <c r="F253" s="57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</row>
    <row r="254">
      <c r="A254" s="69"/>
      <c r="B254" s="57"/>
      <c r="C254" s="63"/>
      <c r="D254" s="63"/>
      <c r="E254" s="57"/>
      <c r="F254" s="57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</row>
    <row r="255">
      <c r="A255" s="69"/>
      <c r="B255" s="57"/>
      <c r="C255" s="63"/>
      <c r="D255" s="63"/>
      <c r="E255" s="57"/>
      <c r="F255" s="57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</row>
    <row r="256">
      <c r="A256" s="69"/>
      <c r="B256" s="57"/>
      <c r="C256" s="57"/>
      <c r="D256" s="63"/>
      <c r="E256" s="57"/>
      <c r="F256" s="57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</row>
    <row r="257">
      <c r="A257" s="69"/>
      <c r="B257" s="57"/>
      <c r="C257" s="57"/>
      <c r="D257" s="63"/>
      <c r="E257" s="57"/>
      <c r="F257" s="57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</row>
    <row r="258">
      <c r="A258" s="69"/>
      <c r="B258" s="57"/>
      <c r="C258" s="57"/>
      <c r="D258" s="63"/>
      <c r="E258" s="57"/>
      <c r="F258" s="57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</row>
    <row r="259">
      <c r="A259" s="69"/>
      <c r="B259" s="57"/>
      <c r="C259" s="57"/>
      <c r="D259" s="63"/>
      <c r="E259" s="57"/>
      <c r="F259" s="57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</row>
    <row r="260">
      <c r="A260" s="69"/>
      <c r="B260" s="57"/>
      <c r="C260" s="57"/>
      <c r="D260" s="63"/>
      <c r="E260" s="57"/>
      <c r="F260" s="57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</row>
    <row r="261">
      <c r="A261" s="69"/>
      <c r="B261" s="57"/>
      <c r="C261" s="57"/>
      <c r="D261" s="63"/>
      <c r="E261" s="57"/>
      <c r="F261" s="57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</row>
    <row r="262">
      <c r="A262" s="69"/>
      <c r="B262" s="57"/>
      <c r="C262" s="57"/>
      <c r="D262" s="63"/>
      <c r="E262" s="57"/>
      <c r="F262" s="57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</row>
    <row r="263">
      <c r="A263" s="69"/>
      <c r="B263" s="57"/>
      <c r="C263" s="57"/>
      <c r="D263" s="63"/>
      <c r="E263" s="57"/>
      <c r="F263" s="57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</row>
    <row r="264">
      <c r="A264" s="69"/>
      <c r="B264" s="57"/>
      <c r="C264" s="57"/>
      <c r="D264" s="63"/>
      <c r="E264" s="57"/>
      <c r="F264" s="57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</row>
    <row r="265">
      <c r="A265" s="69"/>
      <c r="B265" s="57"/>
      <c r="C265" s="57"/>
      <c r="D265" s="63"/>
      <c r="E265" s="57"/>
      <c r="F265" s="57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</row>
    <row r="266">
      <c r="A266" s="69"/>
      <c r="B266" s="57"/>
      <c r="C266" s="57"/>
      <c r="D266" s="63"/>
      <c r="E266" s="57"/>
      <c r="F266" s="57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</row>
    <row r="267">
      <c r="A267" s="69"/>
      <c r="B267" s="57"/>
      <c r="C267" s="57"/>
      <c r="D267" s="63"/>
      <c r="E267" s="57"/>
      <c r="F267" s="57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</row>
    <row r="268">
      <c r="A268" s="69"/>
      <c r="B268" s="57"/>
      <c r="C268" s="57"/>
      <c r="D268" s="63"/>
      <c r="E268" s="57"/>
      <c r="F268" s="57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</row>
    <row r="269">
      <c r="A269" s="69"/>
      <c r="B269" s="57"/>
      <c r="C269" s="57"/>
      <c r="D269" s="63"/>
      <c r="E269" s="57"/>
      <c r="F269" s="57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</row>
    <row r="270">
      <c r="A270" s="69"/>
      <c r="B270" s="57"/>
      <c r="C270" s="57"/>
      <c r="D270" s="63"/>
      <c r="E270" s="57"/>
      <c r="F270" s="57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</row>
    <row r="271">
      <c r="A271" s="69"/>
      <c r="B271" s="57"/>
      <c r="C271" s="57"/>
      <c r="D271" s="63"/>
      <c r="E271" s="57"/>
      <c r="F271" s="57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</row>
    <row r="272">
      <c r="A272" s="69"/>
      <c r="B272" s="57"/>
      <c r="C272" s="57"/>
      <c r="D272" s="63"/>
      <c r="E272" s="57"/>
      <c r="F272" s="57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</row>
    <row r="273">
      <c r="A273" s="69"/>
      <c r="B273" s="57"/>
      <c r="C273" s="57"/>
      <c r="D273" s="63"/>
      <c r="E273" s="57"/>
      <c r="F273" s="57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</row>
    <row r="274">
      <c r="A274" s="69"/>
      <c r="B274" s="57"/>
      <c r="C274" s="57"/>
      <c r="D274" s="63"/>
      <c r="E274" s="57"/>
      <c r="F274" s="57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</row>
    <row r="275">
      <c r="A275" s="69"/>
      <c r="B275" s="57"/>
      <c r="C275" s="57"/>
      <c r="D275" s="63"/>
      <c r="E275" s="57"/>
      <c r="F275" s="57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</row>
    <row r="276">
      <c r="A276" s="69"/>
      <c r="B276" s="57"/>
      <c r="C276" s="57"/>
      <c r="D276" s="63"/>
      <c r="E276" s="57"/>
      <c r="F276" s="57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</row>
    <row r="277">
      <c r="A277" s="69"/>
      <c r="B277" s="57"/>
      <c r="C277" s="57"/>
      <c r="D277" s="63"/>
      <c r="E277" s="63"/>
      <c r="F277" s="63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</row>
    <row r="278">
      <c r="A278" s="69"/>
      <c r="B278" s="57"/>
      <c r="C278" s="57"/>
      <c r="D278" s="63"/>
      <c r="E278" s="57"/>
      <c r="F278" s="57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</row>
    <row r="279">
      <c r="A279" s="69"/>
      <c r="B279" s="57"/>
      <c r="C279" s="57"/>
      <c r="D279" s="63"/>
      <c r="E279" s="63"/>
      <c r="F279" s="63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</row>
    <row r="280">
      <c r="A280" s="69"/>
      <c r="B280" s="57"/>
      <c r="C280" s="57"/>
      <c r="D280" s="63"/>
      <c r="E280" s="63"/>
      <c r="F280" s="63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</row>
    <row r="281">
      <c r="A281" s="69"/>
      <c r="B281" s="57"/>
      <c r="C281" s="57"/>
      <c r="D281" s="63"/>
      <c r="E281" s="63"/>
      <c r="F281" s="63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</row>
    <row r="282">
      <c r="A282" s="69"/>
      <c r="B282" s="57"/>
      <c r="C282" s="57"/>
      <c r="D282" s="63"/>
      <c r="E282" s="63"/>
      <c r="F282" s="63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</row>
    <row r="283">
      <c r="A283" s="69"/>
      <c r="B283" s="57"/>
      <c r="C283" s="57"/>
      <c r="D283" s="63"/>
      <c r="E283" s="63"/>
      <c r="F283" s="63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</row>
    <row r="284">
      <c r="A284" s="69"/>
      <c r="B284" s="57"/>
      <c r="C284" s="57"/>
      <c r="D284" s="63"/>
      <c r="E284" s="63"/>
      <c r="F284" s="63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</row>
    <row r="285">
      <c r="A285" s="67"/>
      <c r="B285" s="54"/>
      <c r="C285" s="57"/>
      <c r="D285" s="68"/>
      <c r="E285" s="68"/>
      <c r="F285" s="68"/>
    </row>
    <row r="286">
      <c r="A286" s="67"/>
      <c r="B286" s="54"/>
      <c r="C286" s="57"/>
      <c r="D286" s="68"/>
      <c r="E286" s="68"/>
      <c r="F286" s="68"/>
    </row>
    <row r="287">
      <c r="A287" s="67"/>
      <c r="B287" s="54"/>
      <c r="C287" s="57"/>
      <c r="D287" s="68"/>
      <c r="E287" s="68"/>
      <c r="F287" s="68"/>
    </row>
    <row r="288">
      <c r="A288" s="67"/>
      <c r="B288" s="54"/>
      <c r="C288" s="57"/>
      <c r="D288" s="68"/>
      <c r="E288" s="68"/>
      <c r="F288" s="68"/>
    </row>
    <row r="289">
      <c r="A289" s="67"/>
      <c r="B289" s="54"/>
      <c r="C289" s="57"/>
      <c r="D289" s="68"/>
      <c r="E289" s="68"/>
      <c r="F289" s="68"/>
    </row>
    <row r="290">
      <c r="A290" s="67"/>
      <c r="B290" s="54"/>
      <c r="C290" s="57"/>
      <c r="D290" s="68"/>
      <c r="E290" s="68"/>
      <c r="F290" s="68"/>
    </row>
    <row r="291">
      <c r="A291" s="67"/>
      <c r="B291" s="54"/>
      <c r="C291" s="57"/>
      <c r="D291" s="68"/>
      <c r="E291" s="68"/>
      <c r="F291" s="68"/>
    </row>
    <row r="292">
      <c r="A292" s="67"/>
      <c r="B292" s="54"/>
      <c r="C292" s="57"/>
      <c r="D292" s="68"/>
      <c r="E292" s="68"/>
      <c r="F292" s="68"/>
    </row>
    <row r="293">
      <c r="A293" s="67"/>
      <c r="B293" s="54"/>
      <c r="C293" s="57"/>
      <c r="D293" s="68"/>
      <c r="E293" s="68"/>
      <c r="F293" s="68"/>
    </row>
    <row r="294">
      <c r="A294" s="67"/>
      <c r="B294" s="54"/>
      <c r="C294" s="57"/>
      <c r="D294" s="68"/>
      <c r="E294" s="68"/>
      <c r="F294" s="68"/>
    </row>
    <row r="295">
      <c r="A295" s="67"/>
      <c r="B295" s="54"/>
      <c r="C295" s="57"/>
      <c r="D295" s="68"/>
      <c r="E295" s="68"/>
      <c r="F295" s="68"/>
    </row>
    <row r="296">
      <c r="A296" s="67"/>
      <c r="B296" s="54"/>
      <c r="C296" s="57"/>
      <c r="D296" s="68"/>
      <c r="E296" s="68"/>
      <c r="F296" s="68"/>
    </row>
    <row r="297">
      <c r="A297" s="67"/>
      <c r="B297" s="54"/>
      <c r="C297" s="57"/>
      <c r="D297" s="68"/>
      <c r="E297" s="68"/>
      <c r="F297" s="68"/>
    </row>
    <row r="298">
      <c r="A298" s="67"/>
      <c r="B298" s="54"/>
      <c r="C298" s="57"/>
      <c r="D298" s="68"/>
      <c r="E298" s="68"/>
      <c r="F298" s="68"/>
    </row>
    <row r="299">
      <c r="A299" s="67"/>
      <c r="B299" s="54"/>
      <c r="C299" s="57"/>
      <c r="D299" s="68"/>
      <c r="E299" s="68"/>
      <c r="F299" s="68"/>
    </row>
    <row r="300">
      <c r="A300" s="67"/>
      <c r="B300" s="54"/>
      <c r="C300" s="57"/>
      <c r="D300" s="68"/>
      <c r="E300" s="68"/>
      <c r="F300" s="68"/>
    </row>
    <row r="301">
      <c r="A301" s="67"/>
      <c r="B301" s="54"/>
      <c r="C301" s="57"/>
      <c r="D301" s="68"/>
      <c r="E301" s="68"/>
      <c r="F301" s="68"/>
    </row>
    <row r="302">
      <c r="A302" s="67"/>
      <c r="B302" s="54"/>
      <c r="C302" s="57"/>
      <c r="D302" s="68"/>
      <c r="E302" s="68"/>
      <c r="F302" s="68"/>
    </row>
    <row r="303">
      <c r="A303" s="67"/>
      <c r="B303" s="54"/>
      <c r="C303" s="57"/>
      <c r="D303" s="68"/>
      <c r="E303" s="68"/>
      <c r="F303" s="68"/>
    </row>
    <row r="304">
      <c r="A304" s="67"/>
      <c r="B304" s="54"/>
      <c r="C304" s="57"/>
      <c r="D304" s="68"/>
      <c r="E304" s="68"/>
      <c r="F304" s="68"/>
    </row>
    <row r="305">
      <c r="A305" s="67"/>
      <c r="B305" s="54"/>
      <c r="C305" s="57"/>
      <c r="D305" s="68"/>
      <c r="E305" s="68"/>
      <c r="F305" s="68"/>
    </row>
    <row r="306">
      <c r="A306" s="67"/>
      <c r="B306" s="54"/>
      <c r="C306" s="57">
        <v>1788.8</v>
      </c>
      <c r="D306" s="68"/>
      <c r="E306" s="68"/>
      <c r="F306" s="68"/>
    </row>
    <row r="307">
      <c r="A307" s="67"/>
      <c r="B307" s="54"/>
      <c r="C307" s="57">
        <v>1821.0</v>
      </c>
      <c r="D307" s="54"/>
      <c r="E307" s="68"/>
      <c r="F307" s="68"/>
    </row>
    <row r="308">
      <c r="A308" s="67"/>
      <c r="B308" s="54"/>
      <c r="C308" s="57">
        <v>1853.9</v>
      </c>
      <c r="D308" s="54"/>
      <c r="E308" s="68"/>
      <c r="F308" s="68"/>
    </row>
    <row r="309">
      <c r="A309" s="67"/>
      <c r="B309" s="54"/>
      <c r="C309" s="57">
        <v>1871.9</v>
      </c>
      <c r="D309" s="54"/>
      <c r="E309" s="68"/>
      <c r="F309" s="68"/>
    </row>
    <row r="310">
      <c r="A310" s="67"/>
      <c r="B310" s="54"/>
      <c r="C310" s="57">
        <v>1905.5</v>
      </c>
      <c r="D310" s="54"/>
      <c r="E310" s="68"/>
      <c r="F310" s="68"/>
    </row>
    <row r="311">
      <c r="A311" s="67"/>
      <c r="B311" s="54"/>
      <c r="C311" s="57">
        <v>1976.6</v>
      </c>
      <c r="D311" s="54"/>
      <c r="E311" s="68"/>
      <c r="F311" s="68"/>
    </row>
    <row r="312">
      <c r="A312" s="67"/>
      <c r="B312" s="54"/>
      <c r="C312" s="57">
        <v>2046.0</v>
      </c>
      <c r="D312" s="54"/>
      <c r="E312" s="68"/>
      <c r="F312" s="68"/>
    </row>
    <row r="313">
      <c r="A313" s="67"/>
      <c r="B313" s="54"/>
      <c r="C313" s="57">
        <v>2182.6</v>
      </c>
      <c r="D313" s="54"/>
      <c r="E313" s="68"/>
      <c r="F313" s="68"/>
    </row>
    <row r="314">
      <c r="A314" s="67"/>
      <c r="B314" s="54"/>
      <c r="C314" s="57">
        <v>2301.1</v>
      </c>
      <c r="D314" s="54"/>
      <c r="E314" s="68"/>
      <c r="F314" s="68"/>
    </row>
    <row r="315">
      <c r="A315" s="67"/>
      <c r="B315" s="54"/>
      <c r="C315" s="57">
        <v>2367.9</v>
      </c>
      <c r="D315" s="54"/>
      <c r="E315" s="68"/>
      <c r="F315" s="68"/>
    </row>
    <row r="316">
      <c r="A316" s="67"/>
      <c r="B316" s="54"/>
      <c r="C316" s="57">
        <v>2397.2</v>
      </c>
      <c r="D316" s="54"/>
      <c r="E316" s="68"/>
      <c r="F316" s="68"/>
    </row>
    <row r="317">
      <c r="A317" s="67"/>
      <c r="B317" s="54"/>
      <c r="C317" s="57">
        <v>2465.3</v>
      </c>
      <c r="D317" s="54"/>
      <c r="E317" s="68"/>
      <c r="F317" s="68"/>
    </row>
    <row r="318">
      <c r="A318" s="67"/>
      <c r="B318" s="54"/>
      <c r="C318" s="57">
        <v>2544.2</v>
      </c>
      <c r="D318" s="54"/>
      <c r="E318" s="68"/>
      <c r="F318" s="68"/>
    </row>
    <row r="319">
      <c r="A319" s="67"/>
      <c r="B319" s="54"/>
      <c r="C319" s="57">
        <v>2574.7</v>
      </c>
      <c r="D319" s="54"/>
      <c r="E319" s="68"/>
      <c r="F319" s="68"/>
    </row>
    <row r="320">
      <c r="A320" s="67"/>
      <c r="B320" s="54"/>
      <c r="C320" s="57">
        <v>2586.7</v>
      </c>
      <c r="D320" s="54"/>
      <c r="E320" s="68"/>
      <c r="F320" s="68"/>
    </row>
    <row r="321">
      <c r="A321" s="67"/>
      <c r="B321" s="54"/>
      <c r="C321" s="57">
        <v>2565.5</v>
      </c>
      <c r="D321" s="54"/>
      <c r="E321" s="68"/>
      <c r="F321" s="68"/>
    </row>
    <row r="322">
      <c r="A322" s="67"/>
      <c r="B322" s="54"/>
      <c r="C322" s="57">
        <v>2567.7</v>
      </c>
      <c r="D322" s="54"/>
      <c r="E322" s="68"/>
      <c r="F322" s="68"/>
    </row>
    <row r="323">
      <c r="A323" s="67"/>
      <c r="B323" s="54"/>
      <c r="C323" s="57">
        <v>2580.8</v>
      </c>
      <c r="D323" s="54"/>
      <c r="E323" s="68"/>
      <c r="F323" s="68"/>
    </row>
    <row r="324">
      <c r="A324" s="67"/>
      <c r="B324" s="54"/>
      <c r="C324" s="57">
        <v>2604.7</v>
      </c>
      <c r="D324" s="54"/>
      <c r="E324" s="68"/>
      <c r="F324" s="68"/>
    </row>
    <row r="325">
      <c r="A325" s="67"/>
      <c r="B325" s="54"/>
      <c r="C325" s="57">
        <v>2647.4</v>
      </c>
      <c r="D325" s="54"/>
      <c r="E325" s="68"/>
      <c r="F325" s="68"/>
    </row>
    <row r="326">
      <c r="A326" s="67"/>
      <c r="B326" s="54"/>
      <c r="C326" s="57">
        <v>2711.6</v>
      </c>
      <c r="D326" s="54"/>
      <c r="E326" s="68"/>
      <c r="F326" s="68"/>
    </row>
    <row r="327">
      <c r="A327" s="67"/>
      <c r="B327" s="54"/>
      <c r="C327" s="57">
        <v>2800.2</v>
      </c>
      <c r="D327" s="54"/>
      <c r="E327" s="68"/>
      <c r="F327" s="68"/>
    </row>
    <row r="328">
      <c r="A328" s="67"/>
      <c r="B328" s="54"/>
      <c r="C328" s="57">
        <v>2851.2</v>
      </c>
      <c r="D328" s="54"/>
      <c r="E328" s="68"/>
      <c r="F328" s="68"/>
    </row>
    <row r="329">
      <c r="A329" s="67"/>
      <c r="B329" s="54"/>
      <c r="C329" s="57">
        <v>2958.7</v>
      </c>
      <c r="D329" s="54"/>
      <c r="E329" s="68"/>
      <c r="F329" s="68"/>
    </row>
    <row r="330">
      <c r="A330" s="67"/>
      <c r="B330" s="54"/>
      <c r="C330" s="57">
        <v>3090.5</v>
      </c>
      <c r="D330" s="54"/>
      <c r="E330" s="68"/>
      <c r="F330" s="68"/>
    </row>
    <row r="331">
      <c r="A331" s="67"/>
      <c r="B331" s="54"/>
      <c r="C331" s="57">
        <v>3153.9</v>
      </c>
      <c r="D331" s="54"/>
      <c r="E331" s="68"/>
      <c r="F331" s="68"/>
    </row>
    <row r="332">
      <c r="A332" s="67"/>
      <c r="B332" s="54"/>
      <c r="C332" s="57">
        <v>3202.2</v>
      </c>
      <c r="D332" s="54"/>
      <c r="E332" s="68"/>
      <c r="F332" s="68"/>
    </row>
    <row r="333">
      <c r="A333" s="67"/>
      <c r="B333" s="54"/>
      <c r="C333" s="57">
        <v>3226.2</v>
      </c>
      <c r="D333" s="54"/>
      <c r="E333" s="68"/>
      <c r="F333" s="68"/>
    </row>
    <row r="334">
      <c r="A334" s="67"/>
      <c r="B334" s="54"/>
      <c r="C334" s="57">
        <v>3277.2</v>
      </c>
      <c r="D334" s="54"/>
      <c r="E334" s="68"/>
      <c r="F334" s="68"/>
    </row>
    <row r="335">
      <c r="A335" s="67"/>
      <c r="B335" s="54"/>
      <c r="C335" s="57">
        <v>3335.9</v>
      </c>
      <c r="D335" s="54"/>
      <c r="E335" s="68"/>
      <c r="F335" s="68"/>
    </row>
    <row r="336">
      <c r="A336" s="67"/>
      <c r="B336" s="54"/>
      <c r="C336" s="57">
        <v>3420.1</v>
      </c>
      <c r="D336" s="54"/>
      <c r="E336" s="68"/>
      <c r="F336" s="68"/>
    </row>
    <row r="337">
      <c r="A337" s="67"/>
      <c r="B337" s="54"/>
      <c r="C337" s="57">
        <v>3542.7</v>
      </c>
      <c r="D337" s="54"/>
      <c r="E337" s="68"/>
      <c r="F337" s="68"/>
    </row>
    <row r="338">
      <c r="A338" s="67"/>
      <c r="B338" s="54"/>
      <c r="C338" s="57">
        <v>3539.7</v>
      </c>
      <c r="D338" s="54"/>
      <c r="E338" s="68"/>
      <c r="F338" s="68"/>
    </row>
    <row r="339">
      <c r="A339" s="67"/>
      <c r="B339" s="54"/>
      <c r="C339" s="57">
        <v>3426.9</v>
      </c>
      <c r="D339" s="54"/>
      <c r="E339" s="68"/>
      <c r="F339" s="68"/>
    </row>
    <row r="340">
      <c r="A340" s="67"/>
      <c r="B340" s="54"/>
      <c r="C340" s="57">
        <v>3356.0</v>
      </c>
      <c r="D340" s="54"/>
      <c r="E340" s="68"/>
      <c r="F340" s="68"/>
    </row>
    <row r="341">
      <c r="A341" s="67"/>
      <c r="B341" s="54"/>
      <c r="C341" s="57">
        <v>3275.6</v>
      </c>
      <c r="D341" s="54"/>
      <c r="E341" s="68"/>
      <c r="F341" s="68"/>
    </row>
    <row r="342">
      <c r="A342" s="67"/>
      <c r="B342" s="54"/>
      <c r="C342" s="57">
        <v>3247.3</v>
      </c>
      <c r="D342" s="54"/>
      <c r="E342" s="68"/>
      <c r="F342" s="68"/>
    </row>
    <row r="343">
      <c r="A343" s="67"/>
      <c r="B343" s="54"/>
      <c r="C343" s="57">
        <v>3313.6</v>
      </c>
      <c r="D343" s="54"/>
      <c r="E343" s="68"/>
      <c r="F343" s="68"/>
    </row>
    <row r="344">
      <c r="A344" s="67"/>
      <c r="B344" s="54"/>
      <c r="C344" s="57">
        <v>3378.5</v>
      </c>
      <c r="D344" s="54"/>
      <c r="E344" s="68"/>
      <c r="F344" s="68"/>
    </row>
    <row r="345">
      <c r="A345" s="67"/>
      <c r="B345" s="54"/>
      <c r="C345" s="57">
        <v>3397.1</v>
      </c>
      <c r="D345" s="54"/>
      <c r="E345" s="68"/>
      <c r="F345" s="68"/>
    </row>
    <row r="346">
      <c r="A346" s="67"/>
      <c r="B346" s="54"/>
      <c r="C346" s="57">
        <v>3465.0</v>
      </c>
      <c r="D346" s="54"/>
      <c r="E346" s="68"/>
      <c r="F346" s="68"/>
    </row>
    <row r="347">
      <c r="A347" s="67"/>
      <c r="B347" s="54"/>
      <c r="C347" s="57">
        <v>3600.4</v>
      </c>
      <c r="D347" s="54"/>
      <c r="E347" s="68"/>
      <c r="F347" s="68"/>
    </row>
    <row r="348">
      <c r="A348" s="67"/>
      <c r="B348" s="54"/>
      <c r="C348" s="57">
        <v>3722.7</v>
      </c>
      <c r="D348" s="54"/>
      <c r="E348" s="68"/>
      <c r="F348" s="68"/>
    </row>
    <row r="349">
      <c r="A349" s="67"/>
      <c r="B349" s="54"/>
      <c r="C349" s="57">
        <v>3718.6</v>
      </c>
      <c r="D349" s="54"/>
      <c r="E349" s="68"/>
      <c r="F349" s="68"/>
    </row>
    <row r="350">
      <c r="A350" s="67"/>
      <c r="B350" s="54"/>
      <c r="C350" s="57">
        <v>3672.7</v>
      </c>
      <c r="D350" s="54"/>
      <c r="E350" s="68"/>
      <c r="F350" s="68"/>
    </row>
    <row r="351">
      <c r="A351" s="67"/>
      <c r="B351" s="54"/>
      <c r="C351" s="57">
        <v>3800.7</v>
      </c>
      <c r="D351" s="54"/>
      <c r="E351" s="68"/>
      <c r="F351" s="68"/>
    </row>
    <row r="352">
      <c r="A352" s="67"/>
      <c r="B352" s="54"/>
      <c r="C352" s="57">
        <v>3945.3</v>
      </c>
      <c r="D352" s="54"/>
      <c r="E352" s="68"/>
      <c r="F352" s="68"/>
    </row>
    <row r="353">
      <c r="A353" s="67"/>
      <c r="B353" s="54"/>
      <c r="C353" s="57">
        <v>3989.3</v>
      </c>
      <c r="D353" s="54"/>
      <c r="E353" s="68"/>
      <c r="F353" s="68"/>
    </row>
    <row r="354">
      <c r="A354" s="67"/>
      <c r="B354" s="54"/>
      <c r="C354" s="54"/>
      <c r="D354" s="54"/>
      <c r="E354" s="68"/>
      <c r="F354" s="68"/>
    </row>
    <row r="355">
      <c r="A355" s="67"/>
      <c r="B355" s="54"/>
      <c r="C355" s="54"/>
      <c r="D355" s="54"/>
      <c r="E355" s="68"/>
      <c r="F355" s="68"/>
    </row>
    <row r="356">
      <c r="A356" s="67"/>
      <c r="B356" s="54"/>
      <c r="C356" s="54"/>
      <c r="D356" s="54"/>
      <c r="E356" s="68"/>
      <c r="F356" s="68"/>
    </row>
    <row r="357">
      <c r="A357" s="67"/>
      <c r="B357" s="54"/>
      <c r="C357" s="54"/>
      <c r="D357" s="54"/>
      <c r="E357" s="68"/>
      <c r="F357" s="68"/>
    </row>
    <row r="358">
      <c r="A358" s="67"/>
      <c r="B358" s="54"/>
      <c r="C358" s="54"/>
      <c r="D358" s="54"/>
      <c r="E358" s="68"/>
      <c r="F358" s="68"/>
    </row>
    <row r="359">
      <c r="A359" s="67"/>
      <c r="B359" s="54"/>
      <c r="C359" s="54"/>
      <c r="D359" s="54"/>
      <c r="E359" s="68"/>
      <c r="F359" s="68"/>
    </row>
    <row r="360">
      <c r="A360" s="67"/>
      <c r="B360" s="54"/>
      <c r="C360" s="54"/>
      <c r="D360" s="54"/>
      <c r="E360" s="68"/>
      <c r="F360" s="68"/>
    </row>
    <row r="361">
      <c r="A361" s="67"/>
      <c r="B361" s="68"/>
      <c r="C361" s="54"/>
      <c r="D361" s="54"/>
      <c r="E361" s="54"/>
      <c r="F361" s="54"/>
    </row>
    <row r="362">
      <c r="A362" s="67"/>
      <c r="B362" s="68"/>
      <c r="C362" s="54"/>
      <c r="D362" s="54"/>
      <c r="E362" s="54"/>
      <c r="F362" s="54"/>
    </row>
    <row r="363">
      <c r="A363" s="67"/>
      <c r="B363" s="68"/>
      <c r="C363" s="54"/>
      <c r="D363" s="54"/>
      <c r="E363" s="54"/>
      <c r="F363" s="54"/>
    </row>
    <row r="364">
      <c r="A364" s="67"/>
      <c r="B364" s="68"/>
      <c r="C364" s="54"/>
      <c r="D364" s="54"/>
      <c r="E364" s="54"/>
      <c r="F364" s="54"/>
    </row>
    <row r="365">
      <c r="A365" s="67"/>
      <c r="B365" s="68"/>
      <c r="C365" s="54"/>
      <c r="D365" s="54"/>
      <c r="E365" s="54"/>
      <c r="F365" s="54"/>
    </row>
    <row r="366">
      <c r="A366" s="67"/>
      <c r="B366" s="68"/>
      <c r="C366" s="54"/>
      <c r="D366" s="54"/>
      <c r="E366" s="54"/>
      <c r="F366" s="54"/>
    </row>
    <row r="367">
      <c r="A367" s="67"/>
      <c r="B367" s="68"/>
      <c r="C367" s="54"/>
      <c r="D367" s="54"/>
      <c r="E367" s="54"/>
      <c r="F367" s="54"/>
    </row>
    <row r="368">
      <c r="A368" s="67"/>
      <c r="B368" s="68"/>
      <c r="C368" s="54"/>
      <c r="D368" s="54"/>
      <c r="E368" s="54"/>
      <c r="F368" s="54"/>
    </row>
    <row r="369">
      <c r="A369" s="67"/>
      <c r="B369" s="68"/>
      <c r="C369" s="54"/>
      <c r="D369" s="54"/>
      <c r="E369" s="54"/>
      <c r="F369" s="54"/>
    </row>
    <row r="370">
      <c r="A370" s="67"/>
      <c r="B370" s="68"/>
      <c r="C370" s="54"/>
      <c r="D370" s="54"/>
      <c r="E370" s="54"/>
      <c r="F370" s="54"/>
    </row>
    <row r="371">
      <c r="A371" s="67"/>
      <c r="B371" s="68"/>
      <c r="C371" s="54"/>
      <c r="D371" s="54"/>
      <c r="E371" s="54"/>
      <c r="F371" s="54"/>
    </row>
    <row r="372">
      <c r="A372" s="67"/>
      <c r="B372" s="68"/>
      <c r="C372" s="54"/>
      <c r="D372" s="54"/>
      <c r="E372" s="54"/>
      <c r="F372" s="54"/>
    </row>
    <row r="373">
      <c r="A373" s="67"/>
      <c r="B373" s="68"/>
      <c r="C373" s="54"/>
      <c r="D373" s="54"/>
      <c r="E373" s="54"/>
      <c r="F373" s="54"/>
    </row>
    <row r="374">
      <c r="A374" s="67"/>
      <c r="B374" s="68"/>
      <c r="C374" s="54"/>
      <c r="D374" s="54"/>
      <c r="E374" s="54"/>
      <c r="F374" s="54"/>
    </row>
    <row r="375">
      <c r="A375" s="67"/>
      <c r="B375" s="68"/>
      <c r="C375" s="54"/>
      <c r="D375" s="54"/>
      <c r="E375" s="54"/>
      <c r="F375" s="54"/>
    </row>
    <row r="376">
      <c r="A376" s="67"/>
      <c r="B376" s="68"/>
      <c r="C376" s="54"/>
      <c r="D376" s="54"/>
      <c r="E376" s="54"/>
      <c r="F376" s="54"/>
    </row>
    <row r="377">
      <c r="A377" s="67"/>
      <c r="B377" s="68"/>
      <c r="C377" s="54"/>
      <c r="D377" s="54"/>
      <c r="E377" s="54"/>
      <c r="F377" s="54"/>
    </row>
    <row r="378">
      <c r="A378" s="67"/>
      <c r="B378" s="68"/>
      <c r="C378" s="54"/>
      <c r="D378" s="54"/>
      <c r="E378" s="54"/>
      <c r="F378" s="54"/>
    </row>
    <row r="379">
      <c r="A379" s="67"/>
      <c r="B379" s="68"/>
      <c r="C379" s="54"/>
      <c r="D379" s="54"/>
      <c r="E379" s="54"/>
      <c r="F379" s="54"/>
    </row>
    <row r="380">
      <c r="A380" s="67"/>
      <c r="B380" s="68"/>
      <c r="C380" s="54"/>
      <c r="D380" s="54"/>
      <c r="E380" s="54"/>
      <c r="F380" s="54"/>
    </row>
    <row r="381">
      <c r="A381" s="67"/>
      <c r="B381" s="68"/>
      <c r="C381" s="54"/>
      <c r="D381" s="54"/>
      <c r="E381" s="54"/>
      <c r="F381" s="54"/>
    </row>
    <row r="382">
      <c r="A382" s="67"/>
      <c r="B382" s="68"/>
      <c r="C382" s="54"/>
      <c r="D382" s="54"/>
      <c r="E382" s="54"/>
      <c r="F382" s="54"/>
    </row>
    <row r="383">
      <c r="A383" s="67"/>
      <c r="B383" s="68"/>
      <c r="C383" s="54"/>
      <c r="D383" s="54"/>
      <c r="E383" s="54"/>
      <c r="F383" s="54"/>
    </row>
    <row r="384">
      <c r="A384" s="67"/>
      <c r="B384" s="68"/>
      <c r="C384" s="54"/>
      <c r="D384" s="54"/>
      <c r="E384" s="54"/>
      <c r="F384" s="54"/>
    </row>
    <row r="385">
      <c r="A385" s="67"/>
      <c r="B385" s="68"/>
      <c r="C385" s="54"/>
      <c r="D385" s="54"/>
      <c r="E385" s="54"/>
      <c r="F385" s="54"/>
    </row>
    <row r="386">
      <c r="A386" s="67"/>
      <c r="B386" s="68"/>
      <c r="C386" s="54"/>
      <c r="D386" s="54"/>
      <c r="E386" s="54"/>
      <c r="F386" s="54"/>
    </row>
    <row r="387">
      <c r="A387" s="67"/>
      <c r="B387" s="68"/>
      <c r="C387" s="54"/>
      <c r="D387" s="54"/>
      <c r="E387" s="54"/>
      <c r="F387" s="54"/>
    </row>
    <row r="388">
      <c r="A388" s="67"/>
      <c r="B388" s="68"/>
      <c r="C388" s="54"/>
      <c r="D388" s="54"/>
      <c r="E388" s="54"/>
      <c r="F388" s="54"/>
    </row>
    <row r="389">
      <c r="A389" s="67"/>
      <c r="B389" s="68"/>
      <c r="C389" s="54"/>
      <c r="D389" s="54"/>
      <c r="E389" s="54"/>
      <c r="F389" s="54"/>
    </row>
    <row r="390">
      <c r="A390" s="67"/>
      <c r="B390" s="68"/>
      <c r="C390" s="54"/>
      <c r="D390" s="54"/>
      <c r="E390" s="54"/>
      <c r="F390" s="54"/>
    </row>
    <row r="391">
      <c r="A391" s="67"/>
      <c r="B391" s="68"/>
      <c r="C391" s="54"/>
      <c r="D391" s="54"/>
      <c r="E391" s="54"/>
      <c r="F391" s="54"/>
    </row>
    <row r="392">
      <c r="A392" s="67"/>
      <c r="B392" s="68"/>
      <c r="C392" s="54"/>
      <c r="D392" s="54"/>
      <c r="E392" s="54"/>
      <c r="F392" s="54"/>
    </row>
    <row r="393">
      <c r="A393" s="67"/>
      <c r="B393" s="68"/>
      <c r="C393" s="54"/>
      <c r="D393" s="54"/>
      <c r="E393" s="54"/>
      <c r="F393" s="54"/>
    </row>
    <row r="394">
      <c r="A394" s="67"/>
      <c r="B394" s="68"/>
      <c r="C394" s="54"/>
      <c r="D394" s="54"/>
      <c r="E394" s="54"/>
      <c r="F394" s="54"/>
    </row>
    <row r="395">
      <c r="A395" s="67"/>
      <c r="B395" s="68"/>
      <c r="C395" s="54"/>
      <c r="D395" s="54"/>
      <c r="E395" s="54"/>
      <c r="F395" s="54"/>
    </row>
    <row r="396">
      <c r="A396" s="67"/>
      <c r="B396" s="68"/>
      <c r="C396" s="54"/>
      <c r="D396" s="54"/>
      <c r="E396" s="54"/>
      <c r="F396" s="54"/>
    </row>
    <row r="397">
      <c r="A397" s="67"/>
      <c r="B397" s="68"/>
      <c r="C397" s="54"/>
      <c r="D397" s="54"/>
      <c r="E397" s="54"/>
      <c r="F397" s="54"/>
    </row>
    <row r="398">
      <c r="A398" s="67"/>
      <c r="B398" s="68"/>
      <c r="C398" s="54"/>
      <c r="D398" s="54"/>
      <c r="E398" s="54"/>
      <c r="F398" s="54"/>
    </row>
    <row r="399">
      <c r="A399" s="67"/>
      <c r="B399" s="68"/>
      <c r="C399" s="54"/>
      <c r="D399" s="54"/>
      <c r="E399" s="54"/>
      <c r="F399" s="54"/>
    </row>
    <row r="400">
      <c r="A400" s="67"/>
      <c r="B400" s="68"/>
      <c r="C400" s="54"/>
      <c r="D400" s="54"/>
      <c r="E400" s="54"/>
      <c r="F400" s="54"/>
    </row>
    <row r="401">
      <c r="A401" s="67"/>
      <c r="B401" s="68"/>
      <c r="C401" s="54"/>
      <c r="D401" s="54"/>
      <c r="E401" s="54"/>
      <c r="F401" s="54"/>
    </row>
    <row r="402">
      <c r="A402" s="67"/>
      <c r="B402" s="68"/>
      <c r="C402" s="54"/>
      <c r="D402" s="54"/>
      <c r="E402" s="54"/>
      <c r="F402" s="54"/>
    </row>
    <row r="403">
      <c r="A403" s="67"/>
      <c r="B403" s="68"/>
      <c r="C403" s="54"/>
      <c r="D403" s="54"/>
      <c r="E403" s="54"/>
      <c r="F403" s="54"/>
    </row>
    <row r="404">
      <c r="A404" s="67"/>
      <c r="B404" s="68"/>
      <c r="C404" s="54"/>
      <c r="D404" s="54"/>
      <c r="E404" s="54"/>
      <c r="F404" s="54"/>
    </row>
    <row r="405">
      <c r="A405" s="67"/>
      <c r="B405" s="68"/>
      <c r="C405" s="54"/>
      <c r="D405" s="54"/>
      <c r="E405" s="54"/>
      <c r="F405" s="54"/>
    </row>
    <row r="406">
      <c r="A406" s="67"/>
      <c r="B406" s="68"/>
      <c r="C406" s="54"/>
      <c r="D406" s="54"/>
      <c r="E406" s="54"/>
      <c r="F406" s="54"/>
    </row>
    <row r="407">
      <c r="A407" s="67"/>
      <c r="B407" s="68"/>
      <c r="C407" s="54"/>
      <c r="D407" s="54"/>
      <c r="E407" s="54"/>
      <c r="F407" s="54"/>
    </row>
    <row r="408">
      <c r="A408" s="67"/>
      <c r="B408" s="68"/>
      <c r="C408" s="54"/>
      <c r="D408" s="54"/>
      <c r="E408" s="54"/>
      <c r="F408" s="54"/>
    </row>
    <row r="409">
      <c r="A409" s="67"/>
      <c r="B409" s="68"/>
      <c r="C409" s="54"/>
      <c r="D409" s="54"/>
      <c r="E409" s="54"/>
      <c r="F409" s="54"/>
    </row>
    <row r="410">
      <c r="A410" s="67"/>
      <c r="B410" s="68"/>
      <c r="C410" s="54"/>
      <c r="D410" s="54"/>
      <c r="E410" s="54"/>
      <c r="F410" s="54"/>
    </row>
    <row r="411">
      <c r="A411" s="67"/>
      <c r="B411" s="68"/>
      <c r="C411" s="54"/>
      <c r="D411" s="54"/>
      <c r="E411" s="54"/>
      <c r="F411" s="54"/>
    </row>
    <row r="412">
      <c r="A412" s="67"/>
      <c r="B412" s="68"/>
      <c r="C412" s="54"/>
      <c r="D412" s="54"/>
      <c r="E412" s="54"/>
      <c r="F412" s="54"/>
    </row>
    <row r="413">
      <c r="A413" s="67">
        <v>19115.0</v>
      </c>
      <c r="B413" s="68">
        <v>3.0</v>
      </c>
      <c r="C413" s="54"/>
      <c r="D413" s="54"/>
      <c r="E413" s="54"/>
      <c r="F413" s="54"/>
    </row>
    <row r="414">
      <c r="A414" s="67">
        <v>19146.0</v>
      </c>
      <c r="B414" s="68">
        <v>3.0</v>
      </c>
      <c r="C414" s="54"/>
      <c r="D414" s="54"/>
      <c r="E414" s="54"/>
      <c r="F414" s="54"/>
    </row>
    <row r="415">
      <c r="A415" s="67">
        <v>19176.0</v>
      </c>
      <c r="B415" s="68">
        <v>3.2</v>
      </c>
      <c r="C415" s="54"/>
      <c r="D415" s="54"/>
      <c r="E415" s="54"/>
      <c r="F415" s="54"/>
    </row>
    <row r="416">
      <c r="A416" s="67">
        <v>19207.0</v>
      </c>
      <c r="B416" s="68">
        <v>3.4</v>
      </c>
      <c r="C416" s="54"/>
      <c r="D416" s="54"/>
      <c r="E416" s="54"/>
      <c r="F416" s="54"/>
    </row>
    <row r="417">
      <c r="A417" s="67">
        <v>19238.0</v>
      </c>
      <c r="B417" s="68">
        <v>3.1</v>
      </c>
      <c r="C417" s="54"/>
      <c r="D417" s="54"/>
      <c r="E417" s="54"/>
      <c r="F417" s="54"/>
    </row>
    <row r="418">
      <c r="A418" s="67">
        <v>19268.0</v>
      </c>
      <c r="B418" s="68">
        <v>3.0</v>
      </c>
      <c r="C418" s="54"/>
      <c r="D418" s="54"/>
      <c r="E418" s="54"/>
      <c r="F418" s="54"/>
    </row>
    <row r="419">
      <c r="A419" s="67">
        <v>19299.0</v>
      </c>
      <c r="B419" s="68">
        <v>2.8</v>
      </c>
      <c r="C419" s="54"/>
      <c r="D419" s="54"/>
      <c r="E419" s="54"/>
      <c r="F419" s="54"/>
    </row>
    <row r="420">
      <c r="A420" s="67">
        <v>19329.0</v>
      </c>
      <c r="B420" s="68">
        <v>2.7</v>
      </c>
      <c r="C420" s="54"/>
      <c r="D420" s="54"/>
      <c r="E420" s="54"/>
      <c r="F420" s="54"/>
    </row>
    <row r="421">
      <c r="A421" s="67">
        <v>19360.0</v>
      </c>
      <c r="B421" s="68">
        <v>2.9</v>
      </c>
      <c r="C421" s="54"/>
      <c r="D421" s="54"/>
      <c r="E421" s="54"/>
      <c r="F421" s="54"/>
    </row>
    <row r="422">
      <c r="A422" s="67">
        <v>19391.0</v>
      </c>
      <c r="B422" s="68">
        <v>2.6</v>
      </c>
      <c r="C422" s="54"/>
      <c r="D422" s="54"/>
      <c r="E422" s="54"/>
      <c r="F422" s="54"/>
    </row>
    <row r="423">
      <c r="A423" s="67">
        <v>19419.0</v>
      </c>
      <c r="B423" s="68">
        <v>2.6</v>
      </c>
      <c r="C423" s="54"/>
      <c r="D423" s="54"/>
      <c r="E423" s="54"/>
      <c r="F423" s="54"/>
    </row>
    <row r="424">
      <c r="A424" s="67">
        <v>19450.0</v>
      </c>
      <c r="B424" s="68">
        <v>2.7</v>
      </c>
      <c r="C424" s="54"/>
      <c r="D424" s="54"/>
      <c r="E424" s="54"/>
      <c r="F424" s="54"/>
    </row>
    <row r="425">
      <c r="A425" s="67">
        <v>19480.0</v>
      </c>
      <c r="B425" s="68">
        <v>2.5</v>
      </c>
      <c r="C425" s="54"/>
      <c r="D425" s="54"/>
      <c r="E425" s="54"/>
      <c r="F425" s="54"/>
    </row>
    <row r="426">
      <c r="A426" s="67">
        <v>19511.0</v>
      </c>
      <c r="B426" s="68">
        <v>2.5</v>
      </c>
      <c r="C426" s="54"/>
      <c r="D426" s="54"/>
      <c r="E426" s="54"/>
      <c r="F426" s="54"/>
    </row>
    <row r="427">
      <c r="A427" s="67">
        <v>19541.0</v>
      </c>
      <c r="B427" s="68">
        <v>2.6</v>
      </c>
      <c r="C427" s="54"/>
      <c r="D427" s="54"/>
      <c r="E427" s="54"/>
      <c r="F427" s="54"/>
    </row>
    <row r="428">
      <c r="A428" s="67">
        <v>19572.0</v>
      </c>
      <c r="B428" s="68">
        <v>2.7</v>
      </c>
      <c r="C428" s="54"/>
      <c r="D428" s="54"/>
      <c r="E428" s="54"/>
      <c r="F428" s="54"/>
    </row>
    <row r="429">
      <c r="A429" s="67">
        <v>19603.0</v>
      </c>
      <c r="B429" s="68">
        <v>2.9</v>
      </c>
      <c r="C429" s="54"/>
      <c r="D429" s="54"/>
      <c r="E429" s="54"/>
      <c r="F429" s="54"/>
    </row>
    <row r="430">
      <c r="A430" s="67">
        <v>19633.0</v>
      </c>
      <c r="B430" s="68">
        <v>3.1</v>
      </c>
      <c r="C430" s="54"/>
      <c r="D430" s="54"/>
      <c r="E430" s="54"/>
      <c r="F430" s="54"/>
    </row>
    <row r="431">
      <c r="A431" s="67">
        <v>19664.0</v>
      </c>
      <c r="B431" s="68">
        <v>3.5</v>
      </c>
      <c r="C431" s="54"/>
      <c r="D431" s="54"/>
      <c r="E431" s="54"/>
      <c r="F431" s="54"/>
    </row>
    <row r="432">
      <c r="A432" s="67">
        <v>19694.0</v>
      </c>
      <c r="B432" s="68">
        <v>4.5</v>
      </c>
      <c r="C432" s="54"/>
      <c r="D432" s="54"/>
      <c r="E432" s="54"/>
      <c r="F432" s="54"/>
    </row>
    <row r="433">
      <c r="A433" s="67">
        <v>19725.0</v>
      </c>
      <c r="B433" s="68">
        <v>4.9</v>
      </c>
      <c r="C433" s="54"/>
      <c r="D433" s="54"/>
      <c r="E433" s="54"/>
      <c r="F433" s="54"/>
    </row>
    <row r="434">
      <c r="A434" s="67">
        <v>19756.0</v>
      </c>
      <c r="B434" s="68">
        <v>5.2</v>
      </c>
      <c r="C434" s="54"/>
      <c r="D434" s="54"/>
      <c r="E434" s="54"/>
      <c r="F434" s="54"/>
    </row>
    <row r="435">
      <c r="A435" s="67">
        <v>19784.0</v>
      </c>
      <c r="B435" s="68">
        <v>5.7</v>
      </c>
      <c r="C435" s="54"/>
      <c r="D435" s="54"/>
      <c r="E435" s="54"/>
      <c r="F435" s="54"/>
    </row>
    <row r="436">
      <c r="A436" s="67">
        <v>19815.0</v>
      </c>
      <c r="B436" s="68">
        <v>5.9</v>
      </c>
      <c r="C436" s="54"/>
      <c r="D436" s="54"/>
      <c r="E436" s="54"/>
      <c r="F436" s="54"/>
    </row>
    <row r="437">
      <c r="A437" s="67">
        <v>19845.0</v>
      </c>
      <c r="B437" s="68">
        <v>5.9</v>
      </c>
      <c r="C437" s="54"/>
      <c r="D437" s="54"/>
      <c r="E437" s="54"/>
      <c r="F437" s="54"/>
    </row>
    <row r="438">
      <c r="A438" s="67">
        <v>19876.0</v>
      </c>
      <c r="B438" s="68">
        <v>5.6</v>
      </c>
      <c r="C438" s="54"/>
      <c r="D438" s="54"/>
      <c r="E438" s="54"/>
      <c r="F438" s="54"/>
    </row>
    <row r="439">
      <c r="A439" s="67">
        <v>19906.0</v>
      </c>
      <c r="B439" s="68">
        <v>5.8</v>
      </c>
      <c r="C439" s="54"/>
      <c r="D439" s="54"/>
      <c r="E439" s="54"/>
      <c r="F439" s="54"/>
    </row>
    <row r="440">
      <c r="A440" s="67">
        <v>19937.0</v>
      </c>
      <c r="B440" s="68">
        <v>6.0</v>
      </c>
      <c r="C440" s="54"/>
      <c r="D440" s="54"/>
      <c r="E440" s="54"/>
      <c r="F440" s="54"/>
    </row>
    <row r="441">
      <c r="A441" s="67">
        <v>19968.0</v>
      </c>
      <c r="B441" s="68">
        <v>6.1</v>
      </c>
      <c r="C441" s="54"/>
      <c r="D441" s="54"/>
      <c r="E441" s="54"/>
      <c r="F441" s="54"/>
    </row>
    <row r="442">
      <c r="A442" s="67">
        <v>19998.0</v>
      </c>
      <c r="B442" s="68">
        <v>5.7</v>
      </c>
      <c r="C442" s="54"/>
      <c r="D442" s="54"/>
      <c r="E442" s="54"/>
      <c r="F442" s="54"/>
    </row>
    <row r="443">
      <c r="A443" s="67">
        <v>20029.0</v>
      </c>
      <c r="B443" s="68">
        <v>5.3</v>
      </c>
      <c r="C443" s="54"/>
      <c r="D443" s="54"/>
      <c r="E443" s="54"/>
      <c r="F443" s="54"/>
    </row>
    <row r="444">
      <c r="A444" s="67">
        <v>20059.0</v>
      </c>
      <c r="B444" s="68">
        <v>5.0</v>
      </c>
      <c r="C444" s="54"/>
      <c r="D444" s="54"/>
      <c r="E444" s="54"/>
      <c r="F444" s="54"/>
    </row>
    <row r="445">
      <c r="A445" s="67">
        <v>20090.0</v>
      </c>
      <c r="B445" s="68">
        <v>4.9</v>
      </c>
      <c r="C445" s="54"/>
      <c r="D445" s="54"/>
      <c r="E445" s="54"/>
      <c r="F445" s="54"/>
    </row>
    <row r="446">
      <c r="A446" s="67">
        <v>20121.0</v>
      </c>
      <c r="B446" s="68">
        <v>4.7</v>
      </c>
      <c r="C446" s="54"/>
      <c r="D446" s="54"/>
      <c r="E446" s="54"/>
      <c r="F446" s="54"/>
    </row>
    <row r="447">
      <c r="A447" s="67">
        <v>20149.0</v>
      </c>
      <c r="B447" s="68">
        <v>4.6</v>
      </c>
      <c r="C447" s="54"/>
      <c r="D447" s="54"/>
      <c r="E447" s="54"/>
      <c r="F447" s="54"/>
    </row>
    <row r="448">
      <c r="A448" s="67">
        <v>20180.0</v>
      </c>
      <c r="B448" s="68">
        <v>4.7</v>
      </c>
      <c r="C448" s="54"/>
      <c r="D448" s="54"/>
      <c r="E448" s="54"/>
      <c r="F448" s="54"/>
    </row>
    <row r="449">
      <c r="A449" s="67">
        <v>20210.0</v>
      </c>
      <c r="B449" s="68">
        <v>4.3</v>
      </c>
      <c r="C449" s="54"/>
      <c r="D449" s="54"/>
      <c r="E449" s="54"/>
      <c r="F449" s="54"/>
    </row>
    <row r="450">
      <c r="A450" s="67">
        <v>20241.0</v>
      </c>
      <c r="B450" s="68">
        <v>4.2</v>
      </c>
      <c r="C450" s="54"/>
      <c r="D450" s="54"/>
      <c r="E450" s="54"/>
      <c r="F450" s="54"/>
    </row>
    <row r="451">
      <c r="A451" s="67">
        <v>20271.0</v>
      </c>
      <c r="B451" s="68">
        <v>4.0</v>
      </c>
      <c r="C451" s="54"/>
      <c r="D451" s="54"/>
      <c r="E451" s="54"/>
      <c r="F451" s="54"/>
    </row>
    <row r="452">
      <c r="A452" s="67">
        <v>20302.0</v>
      </c>
      <c r="B452" s="68">
        <v>4.2</v>
      </c>
      <c r="C452" s="54"/>
      <c r="D452" s="54"/>
      <c r="E452" s="54"/>
      <c r="F452" s="54"/>
    </row>
    <row r="453">
      <c r="A453" s="67">
        <v>20333.0</v>
      </c>
      <c r="B453" s="68">
        <v>4.1</v>
      </c>
      <c r="C453" s="54"/>
      <c r="D453" s="54"/>
      <c r="E453" s="54"/>
      <c r="F453" s="54"/>
    </row>
    <row r="454">
      <c r="A454" s="67">
        <v>20363.0</v>
      </c>
      <c r="B454" s="68">
        <v>4.3</v>
      </c>
      <c r="C454" s="54"/>
      <c r="D454" s="54"/>
      <c r="E454" s="54"/>
      <c r="F454" s="54"/>
    </row>
    <row r="455">
      <c r="A455" s="67">
        <v>20394.0</v>
      </c>
      <c r="B455" s="68">
        <v>4.2</v>
      </c>
      <c r="C455" s="54"/>
      <c r="D455" s="54"/>
      <c r="E455" s="54"/>
      <c r="F455" s="54"/>
    </row>
    <row r="456">
      <c r="A456" s="67">
        <v>20424.0</v>
      </c>
      <c r="B456" s="68">
        <v>4.2</v>
      </c>
      <c r="C456" s="54"/>
      <c r="D456" s="54"/>
      <c r="E456" s="54"/>
      <c r="F456" s="54"/>
    </row>
    <row r="457">
      <c r="A457" s="67">
        <v>20455.0</v>
      </c>
      <c r="B457" s="68">
        <v>4.0</v>
      </c>
      <c r="C457" s="54"/>
      <c r="D457" s="54"/>
      <c r="E457" s="54"/>
      <c r="F457" s="54"/>
    </row>
    <row r="458">
      <c r="A458" s="67">
        <v>20486.0</v>
      </c>
      <c r="B458" s="68">
        <v>3.9</v>
      </c>
      <c r="C458" s="54"/>
      <c r="D458" s="54"/>
      <c r="E458" s="54"/>
      <c r="F458" s="54"/>
    </row>
    <row r="459">
      <c r="A459" s="67">
        <v>20515.0</v>
      </c>
      <c r="B459" s="68">
        <v>4.2</v>
      </c>
      <c r="C459" s="54"/>
      <c r="D459" s="54"/>
      <c r="E459" s="54"/>
      <c r="F459" s="54"/>
    </row>
    <row r="460">
      <c r="A460" s="67">
        <v>20546.0</v>
      </c>
      <c r="B460" s="68">
        <v>4.0</v>
      </c>
      <c r="C460" s="54"/>
      <c r="D460" s="54"/>
      <c r="E460" s="54"/>
      <c r="F460" s="54"/>
    </row>
    <row r="461">
      <c r="A461" s="67">
        <v>20576.0</v>
      </c>
      <c r="B461" s="68">
        <v>4.3</v>
      </c>
      <c r="C461" s="54"/>
      <c r="D461" s="54"/>
      <c r="E461" s="54"/>
      <c r="F461" s="54"/>
    </row>
    <row r="462">
      <c r="A462" s="67">
        <v>20607.0</v>
      </c>
      <c r="B462" s="68">
        <v>4.3</v>
      </c>
      <c r="C462" s="54"/>
      <c r="D462" s="54"/>
      <c r="E462" s="54"/>
      <c r="F462" s="54"/>
    </row>
    <row r="463">
      <c r="A463" s="67">
        <v>20637.0</v>
      </c>
      <c r="B463" s="68">
        <v>4.4</v>
      </c>
      <c r="C463" s="54"/>
      <c r="D463" s="54"/>
      <c r="E463" s="54"/>
      <c r="F463" s="54"/>
    </row>
    <row r="464">
      <c r="A464" s="67">
        <v>20668.0</v>
      </c>
      <c r="B464" s="68">
        <v>4.1</v>
      </c>
      <c r="C464" s="54"/>
      <c r="D464" s="54"/>
      <c r="E464" s="54"/>
      <c r="F464" s="54"/>
    </row>
    <row r="465">
      <c r="A465" s="67">
        <v>20699.0</v>
      </c>
      <c r="B465" s="68">
        <v>3.9</v>
      </c>
      <c r="C465" s="54"/>
      <c r="D465" s="54"/>
      <c r="E465" s="54"/>
      <c r="F465" s="54"/>
    </row>
    <row r="466">
      <c r="A466" s="67">
        <v>20729.0</v>
      </c>
      <c r="B466" s="68">
        <v>3.9</v>
      </c>
      <c r="C466" s="54"/>
      <c r="D466" s="54"/>
      <c r="E466" s="54"/>
      <c r="F466" s="54"/>
    </row>
    <row r="467">
      <c r="A467" s="67">
        <v>20760.0</v>
      </c>
      <c r="B467" s="68">
        <v>4.3</v>
      </c>
      <c r="C467" s="54"/>
      <c r="D467" s="54"/>
      <c r="E467" s="54"/>
      <c r="F467" s="54"/>
    </row>
    <row r="468">
      <c r="A468" s="67">
        <v>20790.0</v>
      </c>
      <c r="B468" s="68">
        <v>4.2</v>
      </c>
      <c r="C468" s="54"/>
      <c r="D468" s="54"/>
      <c r="E468" s="54"/>
      <c r="F468" s="54"/>
    </row>
    <row r="469">
      <c r="A469" s="67">
        <v>20821.0</v>
      </c>
      <c r="B469" s="68">
        <v>4.2</v>
      </c>
      <c r="C469" s="54"/>
      <c r="D469" s="54"/>
      <c r="E469" s="54"/>
      <c r="F469" s="54"/>
    </row>
    <row r="470">
      <c r="A470" s="67">
        <v>20852.0</v>
      </c>
      <c r="B470" s="68">
        <v>3.9</v>
      </c>
      <c r="C470" s="54"/>
      <c r="D470" s="54"/>
      <c r="E470" s="54"/>
      <c r="F470" s="54"/>
    </row>
    <row r="471">
      <c r="A471" s="67">
        <v>20880.0</v>
      </c>
      <c r="B471" s="68">
        <v>3.7</v>
      </c>
      <c r="C471" s="54"/>
      <c r="D471" s="54"/>
      <c r="E471" s="54"/>
      <c r="F471" s="54"/>
    </row>
    <row r="472">
      <c r="A472" s="67">
        <v>20911.0</v>
      </c>
      <c r="B472" s="68">
        <v>3.9</v>
      </c>
      <c r="C472" s="54"/>
      <c r="D472" s="54"/>
      <c r="E472" s="54"/>
      <c r="F472" s="54"/>
    </row>
    <row r="473">
      <c r="A473" s="67">
        <v>20941.0</v>
      </c>
      <c r="B473" s="68">
        <v>4.1</v>
      </c>
      <c r="C473" s="54"/>
      <c r="D473" s="54"/>
      <c r="E473" s="54"/>
      <c r="F473" s="54"/>
    </row>
    <row r="474">
      <c r="A474" s="67">
        <v>20972.0</v>
      </c>
      <c r="B474" s="68">
        <v>4.3</v>
      </c>
      <c r="C474" s="54"/>
      <c r="D474" s="54"/>
      <c r="E474" s="54"/>
      <c r="F474" s="54"/>
    </row>
    <row r="475">
      <c r="A475" s="67">
        <v>21002.0</v>
      </c>
      <c r="B475" s="68">
        <v>4.2</v>
      </c>
      <c r="C475" s="54"/>
      <c r="D475" s="54"/>
      <c r="E475" s="54"/>
      <c r="F475" s="54"/>
    </row>
    <row r="476">
      <c r="A476" s="67">
        <v>21033.0</v>
      </c>
      <c r="B476" s="68">
        <v>4.1</v>
      </c>
      <c r="C476" s="54"/>
      <c r="D476" s="54"/>
      <c r="E476" s="54"/>
      <c r="F476" s="54"/>
    </row>
    <row r="477">
      <c r="A477" s="67">
        <v>21064.0</v>
      </c>
      <c r="B477" s="68">
        <v>4.4</v>
      </c>
      <c r="C477" s="54"/>
      <c r="D477" s="54"/>
      <c r="E477" s="54"/>
      <c r="F477" s="54"/>
    </row>
    <row r="478">
      <c r="A478" s="67">
        <v>21094.0</v>
      </c>
      <c r="B478" s="68">
        <v>4.5</v>
      </c>
      <c r="C478" s="54"/>
      <c r="D478" s="54"/>
      <c r="E478" s="54"/>
      <c r="F478" s="54"/>
    </row>
    <row r="479">
      <c r="A479" s="67">
        <v>21125.0</v>
      </c>
      <c r="B479" s="68">
        <v>5.1</v>
      </c>
      <c r="C479" s="54"/>
      <c r="D479" s="54"/>
      <c r="E479" s="54"/>
      <c r="F479" s="54"/>
    </row>
    <row r="480">
      <c r="A480" s="67">
        <v>21155.0</v>
      </c>
      <c r="B480" s="68">
        <v>5.2</v>
      </c>
      <c r="C480" s="54"/>
      <c r="D480" s="54"/>
      <c r="E480" s="54"/>
      <c r="F480" s="54"/>
    </row>
    <row r="481">
      <c r="A481" s="67">
        <v>21186.0</v>
      </c>
      <c r="B481" s="68">
        <v>5.8</v>
      </c>
      <c r="C481" s="54"/>
      <c r="D481" s="54"/>
      <c r="E481" s="54"/>
      <c r="F481" s="54"/>
    </row>
    <row r="482">
      <c r="A482" s="67">
        <v>21217.0</v>
      </c>
      <c r="B482" s="68">
        <v>6.4</v>
      </c>
      <c r="C482" s="54"/>
      <c r="D482" s="54"/>
      <c r="E482" s="54"/>
      <c r="F482" s="54"/>
    </row>
    <row r="483">
      <c r="A483" s="67">
        <v>21245.0</v>
      </c>
      <c r="B483" s="68">
        <v>6.7</v>
      </c>
      <c r="C483" s="54"/>
      <c r="D483" s="54"/>
      <c r="E483" s="54"/>
      <c r="F483" s="54"/>
    </row>
    <row r="484">
      <c r="A484" s="67">
        <v>21276.0</v>
      </c>
      <c r="B484" s="68">
        <v>7.4</v>
      </c>
      <c r="C484" s="54"/>
      <c r="D484" s="54"/>
      <c r="E484" s="54"/>
      <c r="F484" s="54"/>
    </row>
    <row r="485">
      <c r="A485" s="67">
        <v>21306.0</v>
      </c>
      <c r="B485" s="68">
        <v>7.4</v>
      </c>
      <c r="C485" s="54"/>
      <c r="D485" s="54"/>
      <c r="E485" s="54"/>
      <c r="F485" s="54"/>
    </row>
    <row r="486">
      <c r="A486" s="67">
        <v>21337.0</v>
      </c>
      <c r="B486" s="68">
        <v>7.3</v>
      </c>
      <c r="C486" s="54"/>
      <c r="D486" s="54"/>
      <c r="E486" s="54"/>
      <c r="F486" s="54"/>
    </row>
    <row r="487">
      <c r="A487" s="67">
        <v>21367.0</v>
      </c>
      <c r="B487" s="68">
        <v>7.5</v>
      </c>
      <c r="C487" s="54"/>
      <c r="D487" s="54"/>
      <c r="E487" s="54"/>
      <c r="F487" s="54"/>
    </row>
    <row r="488">
      <c r="A488" s="67">
        <v>21398.0</v>
      </c>
      <c r="B488" s="68">
        <v>7.4</v>
      </c>
      <c r="C488" s="54"/>
      <c r="D488" s="54"/>
      <c r="E488" s="54"/>
      <c r="F488" s="54"/>
    </row>
    <row r="489">
      <c r="A489" s="67">
        <v>21429.0</v>
      </c>
      <c r="B489" s="68">
        <v>7.1</v>
      </c>
      <c r="C489" s="54"/>
      <c r="D489" s="54"/>
      <c r="E489" s="54"/>
      <c r="F489" s="54"/>
    </row>
    <row r="490">
      <c r="A490" s="67">
        <v>21459.0</v>
      </c>
      <c r="B490" s="68">
        <v>6.7</v>
      </c>
      <c r="C490" s="54"/>
      <c r="D490" s="54"/>
      <c r="E490" s="54"/>
      <c r="F490" s="54"/>
    </row>
    <row r="491">
      <c r="A491" s="67">
        <v>21490.0</v>
      </c>
      <c r="B491" s="68">
        <v>6.2</v>
      </c>
      <c r="C491" s="54"/>
      <c r="D491" s="54"/>
      <c r="E491" s="54"/>
      <c r="F491" s="54"/>
    </row>
    <row r="492">
      <c r="A492" s="67">
        <v>21520.0</v>
      </c>
      <c r="B492" s="68">
        <v>6.2</v>
      </c>
      <c r="C492" s="54"/>
      <c r="D492" s="54"/>
      <c r="E492" s="54"/>
      <c r="F492" s="54"/>
    </row>
    <row r="493">
      <c r="A493" s="67">
        <v>21551.0</v>
      </c>
      <c r="B493" s="68">
        <v>6.0</v>
      </c>
      <c r="C493" s="54"/>
      <c r="D493" s="54"/>
      <c r="E493" s="54"/>
      <c r="F493" s="54"/>
    </row>
    <row r="494">
      <c r="A494" s="67">
        <v>21582.0</v>
      </c>
      <c r="B494" s="68">
        <v>5.9</v>
      </c>
      <c r="C494" s="54"/>
      <c r="D494" s="54"/>
      <c r="E494" s="54"/>
      <c r="F494" s="54"/>
    </row>
    <row r="495">
      <c r="A495" s="67">
        <v>21610.0</v>
      </c>
      <c r="B495" s="68">
        <v>5.6</v>
      </c>
      <c r="C495" s="54"/>
      <c r="D495" s="54"/>
      <c r="E495" s="54"/>
      <c r="F495" s="54"/>
    </row>
    <row r="496">
      <c r="A496" s="67">
        <v>21641.0</v>
      </c>
      <c r="B496" s="68">
        <v>5.2</v>
      </c>
      <c r="C496" s="54"/>
      <c r="D496" s="54"/>
      <c r="E496" s="54"/>
      <c r="F496" s="54"/>
    </row>
    <row r="497">
      <c r="A497" s="67">
        <v>21671.0</v>
      </c>
      <c r="B497" s="68">
        <v>5.1</v>
      </c>
      <c r="C497" s="54"/>
      <c r="D497" s="54"/>
      <c r="E497" s="54"/>
      <c r="F497" s="54"/>
    </row>
    <row r="498">
      <c r="A498" s="67">
        <v>21702.0</v>
      </c>
      <c r="B498" s="68">
        <v>5.0</v>
      </c>
      <c r="C498" s="54"/>
      <c r="D498" s="54"/>
      <c r="E498" s="54"/>
      <c r="F498" s="54"/>
    </row>
    <row r="499">
      <c r="A499" s="67">
        <v>21732.0</v>
      </c>
      <c r="B499" s="68">
        <v>5.1</v>
      </c>
      <c r="C499" s="54"/>
      <c r="D499" s="54"/>
      <c r="E499" s="54"/>
      <c r="F499" s="54"/>
    </row>
    <row r="500">
      <c r="A500" s="67">
        <v>21763.0</v>
      </c>
      <c r="B500" s="68">
        <v>5.2</v>
      </c>
      <c r="C500" s="54"/>
      <c r="D500" s="54"/>
      <c r="E500" s="54"/>
      <c r="F500" s="54"/>
    </row>
    <row r="501">
      <c r="A501" s="67">
        <v>21794.0</v>
      </c>
      <c r="B501" s="68">
        <v>5.5</v>
      </c>
      <c r="C501" s="54"/>
      <c r="D501" s="54"/>
      <c r="E501" s="54"/>
      <c r="F501" s="54"/>
    </row>
    <row r="502">
      <c r="A502" s="67">
        <v>21824.0</v>
      </c>
      <c r="B502" s="68">
        <v>5.7</v>
      </c>
      <c r="C502" s="54"/>
      <c r="D502" s="54"/>
      <c r="E502" s="54"/>
      <c r="F502" s="54"/>
    </row>
    <row r="503">
      <c r="A503" s="67">
        <v>21855.0</v>
      </c>
      <c r="B503" s="68">
        <v>5.8</v>
      </c>
      <c r="C503" s="54"/>
      <c r="D503" s="54"/>
      <c r="E503" s="54"/>
      <c r="F503" s="54"/>
    </row>
    <row r="504">
      <c r="A504" s="67">
        <v>21885.0</v>
      </c>
      <c r="B504" s="68">
        <v>5.3</v>
      </c>
      <c r="C504" s="54"/>
      <c r="D504" s="54"/>
      <c r="E504" s="54"/>
      <c r="F504" s="54"/>
    </row>
    <row r="505">
      <c r="A505" s="67">
        <v>21916.0</v>
      </c>
      <c r="B505" s="68">
        <v>5.2</v>
      </c>
      <c r="C505" s="54"/>
      <c r="D505" s="54"/>
      <c r="E505" s="54"/>
      <c r="F505" s="54"/>
    </row>
    <row r="506">
      <c r="A506" s="67">
        <v>21947.0</v>
      </c>
      <c r="B506" s="68">
        <v>4.8</v>
      </c>
      <c r="C506" s="54"/>
      <c r="D506" s="54"/>
      <c r="E506" s="54"/>
      <c r="F506" s="54"/>
    </row>
    <row r="507">
      <c r="A507" s="67">
        <v>21976.0</v>
      </c>
      <c r="B507" s="68">
        <v>5.4</v>
      </c>
      <c r="C507" s="54"/>
      <c r="D507" s="54"/>
      <c r="E507" s="54"/>
      <c r="F507" s="54"/>
    </row>
    <row r="508">
      <c r="A508" s="67">
        <v>22007.0</v>
      </c>
      <c r="B508" s="68">
        <v>5.2</v>
      </c>
      <c r="C508" s="54"/>
      <c r="D508" s="54"/>
      <c r="E508" s="54"/>
      <c r="F508" s="54"/>
    </row>
    <row r="509">
      <c r="A509" s="67">
        <v>22037.0</v>
      </c>
      <c r="B509" s="68">
        <v>5.1</v>
      </c>
      <c r="C509" s="54"/>
      <c r="D509" s="54"/>
      <c r="E509" s="54"/>
      <c r="F509" s="54"/>
    </row>
    <row r="510">
      <c r="A510" s="67">
        <v>22068.0</v>
      </c>
      <c r="B510" s="68">
        <v>5.4</v>
      </c>
      <c r="C510" s="54"/>
      <c r="D510" s="54"/>
      <c r="E510" s="54"/>
      <c r="F510" s="54"/>
    </row>
    <row r="511">
      <c r="A511" s="67">
        <v>22098.0</v>
      </c>
      <c r="B511" s="68">
        <v>5.5</v>
      </c>
      <c r="C511" s="54"/>
      <c r="D511" s="54"/>
      <c r="E511" s="54"/>
      <c r="F511" s="54"/>
    </row>
    <row r="512">
      <c r="A512" s="67">
        <v>22129.0</v>
      </c>
      <c r="B512" s="68">
        <v>5.6</v>
      </c>
      <c r="C512" s="54"/>
      <c r="D512" s="54"/>
      <c r="E512" s="54"/>
      <c r="F512" s="54"/>
    </row>
    <row r="513">
      <c r="A513" s="67">
        <v>22160.0</v>
      </c>
      <c r="B513" s="68">
        <v>5.5</v>
      </c>
      <c r="C513" s="54"/>
      <c r="D513" s="54"/>
      <c r="E513" s="54"/>
      <c r="F513" s="54"/>
    </row>
    <row r="514">
      <c r="A514" s="67">
        <v>22190.0</v>
      </c>
      <c r="B514" s="68">
        <v>6.1</v>
      </c>
      <c r="C514" s="54"/>
      <c r="D514" s="54"/>
      <c r="E514" s="54"/>
      <c r="F514" s="54"/>
    </row>
    <row r="515">
      <c r="A515" s="67">
        <v>22221.0</v>
      </c>
      <c r="B515" s="68">
        <v>6.1</v>
      </c>
      <c r="C515" s="54"/>
      <c r="D515" s="54"/>
      <c r="E515" s="54"/>
      <c r="F515" s="54"/>
    </row>
    <row r="516">
      <c r="A516" s="67">
        <v>22251.0</v>
      </c>
      <c r="B516" s="68">
        <v>6.6</v>
      </c>
      <c r="C516" s="54"/>
      <c r="D516" s="54"/>
      <c r="E516" s="54"/>
      <c r="F516" s="54"/>
    </row>
    <row r="517">
      <c r="A517" s="67">
        <v>22282.0</v>
      </c>
      <c r="B517" s="68">
        <v>6.6</v>
      </c>
      <c r="C517" s="54"/>
      <c r="D517" s="54"/>
      <c r="E517" s="54"/>
      <c r="F517" s="54"/>
    </row>
    <row r="518">
      <c r="A518" s="67">
        <v>22313.0</v>
      </c>
      <c r="B518" s="68">
        <v>6.9</v>
      </c>
      <c r="C518" s="54"/>
      <c r="D518" s="54"/>
      <c r="E518" s="54"/>
      <c r="F518" s="54"/>
    </row>
    <row r="519">
      <c r="A519" s="67">
        <v>22341.0</v>
      </c>
      <c r="B519" s="68">
        <v>6.9</v>
      </c>
      <c r="C519" s="54"/>
      <c r="D519" s="54"/>
      <c r="E519" s="54"/>
      <c r="F519" s="54"/>
    </row>
    <row r="520">
      <c r="A520" s="67">
        <v>22372.0</v>
      </c>
      <c r="B520" s="68">
        <v>7.0</v>
      </c>
      <c r="C520" s="54"/>
      <c r="D520" s="54"/>
      <c r="E520" s="54"/>
      <c r="F520" s="54"/>
    </row>
    <row r="521">
      <c r="A521" s="67">
        <v>22402.0</v>
      </c>
      <c r="B521" s="68">
        <v>7.1</v>
      </c>
      <c r="C521" s="54"/>
      <c r="D521" s="54"/>
      <c r="E521" s="54"/>
      <c r="F521" s="54"/>
    </row>
    <row r="522">
      <c r="A522" s="67">
        <v>22433.0</v>
      </c>
      <c r="B522" s="68">
        <v>6.9</v>
      </c>
      <c r="C522" s="54"/>
      <c r="D522" s="54"/>
      <c r="E522" s="54"/>
      <c r="F522" s="54"/>
    </row>
    <row r="523">
      <c r="A523" s="67">
        <v>22463.0</v>
      </c>
      <c r="B523" s="68">
        <v>7.0</v>
      </c>
      <c r="C523" s="54"/>
      <c r="D523" s="54"/>
      <c r="E523" s="54"/>
      <c r="F523" s="54"/>
    </row>
    <row r="524">
      <c r="A524" s="67">
        <v>22494.0</v>
      </c>
      <c r="B524" s="68">
        <v>6.6</v>
      </c>
      <c r="C524" s="54"/>
      <c r="D524" s="54"/>
      <c r="E524" s="54"/>
      <c r="F524" s="54"/>
    </row>
    <row r="525">
      <c r="A525" s="67">
        <v>22525.0</v>
      </c>
      <c r="B525" s="68">
        <v>6.7</v>
      </c>
      <c r="C525" s="54"/>
      <c r="D525" s="54"/>
      <c r="E525" s="54"/>
      <c r="F525" s="54"/>
    </row>
    <row r="526">
      <c r="A526" s="67">
        <v>22555.0</v>
      </c>
      <c r="B526" s="68">
        <v>6.5</v>
      </c>
      <c r="C526" s="54"/>
      <c r="D526" s="54"/>
      <c r="E526" s="54"/>
      <c r="F526" s="54"/>
    </row>
    <row r="527">
      <c r="A527" s="67">
        <v>22586.0</v>
      </c>
      <c r="B527" s="68">
        <v>6.1</v>
      </c>
      <c r="C527" s="54"/>
      <c r="D527" s="54"/>
      <c r="E527" s="54"/>
      <c r="F527" s="54"/>
    </row>
    <row r="528">
      <c r="A528" s="67">
        <v>22616.0</v>
      </c>
      <c r="B528" s="68">
        <v>6.0</v>
      </c>
      <c r="C528" s="54"/>
      <c r="D528" s="54"/>
      <c r="E528" s="54"/>
      <c r="F528" s="54"/>
    </row>
    <row r="529">
      <c r="A529" s="67">
        <v>22647.0</v>
      </c>
      <c r="B529" s="68">
        <v>5.8</v>
      </c>
      <c r="C529" s="54"/>
      <c r="D529" s="54"/>
      <c r="E529" s="54"/>
      <c r="F529" s="54"/>
    </row>
    <row r="530">
      <c r="A530" s="67">
        <v>22678.0</v>
      </c>
      <c r="B530" s="68">
        <v>5.5</v>
      </c>
      <c r="C530" s="54"/>
      <c r="D530" s="54"/>
      <c r="E530" s="54"/>
      <c r="F530" s="54"/>
    </row>
    <row r="531">
      <c r="A531" s="67">
        <v>22706.0</v>
      </c>
      <c r="B531" s="68">
        <v>5.6</v>
      </c>
      <c r="C531" s="54"/>
      <c r="D531" s="54"/>
      <c r="E531" s="54"/>
      <c r="F531" s="54"/>
    </row>
    <row r="532">
      <c r="A532" s="67">
        <v>22737.0</v>
      </c>
      <c r="B532" s="68">
        <v>5.6</v>
      </c>
      <c r="C532" s="54"/>
      <c r="D532" s="54"/>
      <c r="E532" s="54"/>
      <c r="F532" s="54"/>
    </row>
    <row r="533">
      <c r="A533" s="67">
        <v>22767.0</v>
      </c>
      <c r="B533" s="68">
        <v>5.5</v>
      </c>
      <c r="C533" s="54"/>
      <c r="D533" s="54"/>
      <c r="E533" s="54"/>
      <c r="F533" s="54"/>
    </row>
    <row r="534">
      <c r="A534" s="67">
        <v>22798.0</v>
      </c>
      <c r="B534" s="68">
        <v>5.5</v>
      </c>
      <c r="C534" s="54"/>
      <c r="D534" s="54"/>
      <c r="E534" s="54"/>
      <c r="F534" s="54"/>
    </row>
    <row r="535">
      <c r="A535" s="67">
        <v>22828.0</v>
      </c>
      <c r="B535" s="68">
        <v>5.4</v>
      </c>
      <c r="C535" s="54"/>
      <c r="D535" s="54"/>
      <c r="E535" s="54"/>
      <c r="F535" s="54"/>
    </row>
    <row r="536">
      <c r="A536" s="67">
        <v>22859.0</v>
      </c>
      <c r="B536" s="68">
        <v>5.7</v>
      </c>
      <c r="C536" s="54"/>
      <c r="D536" s="54"/>
      <c r="E536" s="54"/>
      <c r="F536" s="54"/>
    </row>
    <row r="537">
      <c r="A537" s="67">
        <v>22890.0</v>
      </c>
      <c r="B537" s="68">
        <v>5.6</v>
      </c>
      <c r="C537" s="54"/>
      <c r="D537" s="54"/>
      <c r="E537" s="54"/>
      <c r="F537" s="54"/>
    </row>
    <row r="538">
      <c r="A538" s="67">
        <v>22920.0</v>
      </c>
      <c r="B538" s="68">
        <v>5.4</v>
      </c>
      <c r="C538" s="54"/>
      <c r="D538" s="54"/>
      <c r="E538" s="54"/>
      <c r="F538" s="54"/>
    </row>
    <row r="539">
      <c r="A539" s="67">
        <v>22951.0</v>
      </c>
      <c r="B539" s="68">
        <v>5.7</v>
      </c>
      <c r="C539" s="54"/>
      <c r="D539" s="54"/>
      <c r="E539" s="54"/>
      <c r="F539" s="54"/>
    </row>
    <row r="540">
      <c r="A540" s="67">
        <v>22981.0</v>
      </c>
      <c r="B540" s="68">
        <v>5.5</v>
      </c>
      <c r="C540" s="54"/>
      <c r="D540" s="54"/>
      <c r="E540" s="54"/>
      <c r="F540" s="54"/>
    </row>
    <row r="541">
      <c r="A541" s="67">
        <v>23012.0</v>
      </c>
      <c r="B541" s="68">
        <v>5.7</v>
      </c>
      <c r="C541" s="54"/>
      <c r="D541" s="54"/>
      <c r="E541" s="54"/>
      <c r="F541" s="54"/>
    </row>
    <row r="542">
      <c r="A542" s="67">
        <v>23043.0</v>
      </c>
      <c r="B542" s="68">
        <v>5.9</v>
      </c>
      <c r="C542" s="54"/>
      <c r="D542" s="54"/>
      <c r="E542" s="54"/>
      <c r="F542" s="54"/>
    </row>
    <row r="543">
      <c r="A543" s="67">
        <v>23071.0</v>
      </c>
      <c r="B543" s="68">
        <v>5.7</v>
      </c>
      <c r="C543" s="54"/>
      <c r="D543" s="54"/>
      <c r="E543" s="54"/>
      <c r="F543" s="54"/>
    </row>
    <row r="544">
      <c r="A544" s="67">
        <v>23102.0</v>
      </c>
      <c r="B544" s="68">
        <v>5.7</v>
      </c>
      <c r="C544" s="54"/>
      <c r="D544" s="54"/>
      <c r="E544" s="54"/>
      <c r="F544" s="54"/>
    </row>
    <row r="545">
      <c r="A545" s="67">
        <v>23132.0</v>
      </c>
      <c r="B545" s="68">
        <v>5.9</v>
      </c>
      <c r="C545" s="54"/>
      <c r="D545" s="54"/>
      <c r="E545" s="54"/>
      <c r="F545" s="54"/>
    </row>
    <row r="546">
      <c r="A546" s="67">
        <v>23163.0</v>
      </c>
      <c r="B546" s="68">
        <v>5.6</v>
      </c>
      <c r="C546" s="54"/>
      <c r="D546" s="54"/>
      <c r="E546" s="54"/>
      <c r="F546" s="54"/>
    </row>
    <row r="547">
      <c r="A547" s="67">
        <v>23193.0</v>
      </c>
      <c r="B547" s="68">
        <v>5.6</v>
      </c>
      <c r="C547" s="54"/>
      <c r="D547" s="54"/>
      <c r="E547" s="54"/>
      <c r="F547" s="54"/>
    </row>
    <row r="548">
      <c r="A548" s="67">
        <v>23224.0</v>
      </c>
      <c r="B548" s="68">
        <v>5.4</v>
      </c>
      <c r="C548" s="54"/>
      <c r="D548" s="54"/>
      <c r="E548" s="54"/>
      <c r="F548" s="54"/>
    </row>
    <row r="549">
      <c r="A549" s="67">
        <v>23255.0</v>
      </c>
      <c r="B549" s="68">
        <v>5.5</v>
      </c>
      <c r="C549" s="54"/>
      <c r="D549" s="54"/>
      <c r="E549" s="54"/>
      <c r="F549" s="54"/>
    </row>
    <row r="550">
      <c r="A550" s="67">
        <v>23285.0</v>
      </c>
      <c r="B550" s="68">
        <v>5.5</v>
      </c>
      <c r="C550" s="54"/>
      <c r="D550" s="54"/>
      <c r="E550" s="54"/>
      <c r="F550" s="54"/>
    </row>
    <row r="551">
      <c r="A551" s="67">
        <v>23316.0</v>
      </c>
      <c r="B551" s="68">
        <v>5.7</v>
      </c>
      <c r="C551" s="54"/>
      <c r="D551" s="54"/>
      <c r="E551" s="54"/>
      <c r="F551" s="54"/>
    </row>
    <row r="552">
      <c r="A552" s="67">
        <v>23346.0</v>
      </c>
      <c r="B552" s="68">
        <v>5.5</v>
      </c>
      <c r="C552" s="54"/>
      <c r="D552" s="54"/>
      <c r="E552" s="54"/>
      <c r="F552" s="54"/>
    </row>
    <row r="553">
      <c r="A553" s="67">
        <v>23377.0</v>
      </c>
      <c r="B553" s="68">
        <v>5.6</v>
      </c>
      <c r="C553" s="54"/>
      <c r="D553" s="54"/>
      <c r="E553" s="54"/>
      <c r="F553" s="54"/>
    </row>
    <row r="554">
      <c r="A554" s="67">
        <v>23408.0</v>
      </c>
      <c r="B554" s="68">
        <v>5.4</v>
      </c>
      <c r="C554" s="54"/>
      <c r="D554" s="54"/>
      <c r="E554" s="54"/>
      <c r="F554" s="54"/>
    </row>
    <row r="555">
      <c r="A555" s="67">
        <v>23437.0</v>
      </c>
      <c r="B555" s="68">
        <v>5.4</v>
      </c>
      <c r="C555" s="54"/>
      <c r="D555" s="54"/>
      <c r="E555" s="54"/>
      <c r="F555" s="54"/>
    </row>
    <row r="556">
      <c r="A556" s="67">
        <v>23468.0</v>
      </c>
      <c r="B556" s="68">
        <v>5.3</v>
      </c>
      <c r="C556" s="54"/>
      <c r="D556" s="54"/>
      <c r="E556" s="54"/>
      <c r="F556" s="54"/>
    </row>
    <row r="557">
      <c r="A557" s="67">
        <v>23498.0</v>
      </c>
      <c r="B557" s="68">
        <v>5.1</v>
      </c>
      <c r="C557" s="54"/>
      <c r="D557" s="54"/>
      <c r="E557" s="54"/>
      <c r="F557" s="54"/>
    </row>
    <row r="558">
      <c r="A558" s="67">
        <v>23529.0</v>
      </c>
      <c r="B558" s="68">
        <v>5.2</v>
      </c>
      <c r="C558" s="54"/>
      <c r="D558" s="54"/>
      <c r="E558" s="54"/>
      <c r="F558" s="54"/>
    </row>
    <row r="559">
      <c r="A559" s="67">
        <v>23559.0</v>
      </c>
      <c r="B559" s="68">
        <v>4.9</v>
      </c>
      <c r="C559" s="54"/>
      <c r="D559" s="54"/>
      <c r="E559" s="54"/>
      <c r="F559" s="54"/>
    </row>
    <row r="560">
      <c r="A560" s="67">
        <v>23590.0</v>
      </c>
      <c r="B560" s="68">
        <v>5.0</v>
      </c>
      <c r="C560" s="54"/>
      <c r="D560" s="54"/>
      <c r="E560" s="54"/>
      <c r="F560" s="54"/>
    </row>
    <row r="561">
      <c r="A561" s="67">
        <v>23621.0</v>
      </c>
      <c r="B561" s="68">
        <v>5.1</v>
      </c>
      <c r="C561" s="54"/>
      <c r="D561" s="54"/>
      <c r="E561" s="54"/>
      <c r="F561" s="54"/>
    </row>
    <row r="562">
      <c r="A562" s="67">
        <v>23651.0</v>
      </c>
      <c r="B562" s="68">
        <v>5.1</v>
      </c>
      <c r="C562" s="54"/>
      <c r="D562" s="54"/>
      <c r="E562" s="54"/>
      <c r="F562" s="54"/>
    </row>
    <row r="563">
      <c r="A563" s="67">
        <v>23682.0</v>
      </c>
      <c r="B563" s="68">
        <v>4.8</v>
      </c>
      <c r="C563" s="54"/>
      <c r="D563" s="54"/>
      <c r="E563" s="54"/>
      <c r="F563" s="54"/>
    </row>
    <row r="564">
      <c r="A564" s="67">
        <v>23712.0</v>
      </c>
      <c r="B564" s="68">
        <v>5.0</v>
      </c>
      <c r="C564" s="54"/>
      <c r="D564" s="54"/>
      <c r="E564" s="54"/>
      <c r="F564" s="54"/>
    </row>
    <row r="565">
      <c r="A565" s="67">
        <v>23743.0</v>
      </c>
      <c r="B565" s="68">
        <v>4.9</v>
      </c>
      <c r="C565" s="54"/>
      <c r="D565" s="54"/>
      <c r="E565" s="54"/>
      <c r="F565" s="54"/>
    </row>
    <row r="566">
      <c r="A566" s="67">
        <v>23774.0</v>
      </c>
      <c r="B566" s="68">
        <v>5.1</v>
      </c>
      <c r="C566" s="54"/>
      <c r="D566" s="54"/>
      <c r="E566" s="54"/>
      <c r="F566" s="54"/>
    </row>
    <row r="567">
      <c r="A567" s="67">
        <v>23802.0</v>
      </c>
      <c r="B567" s="68">
        <v>4.7</v>
      </c>
      <c r="C567" s="54"/>
      <c r="D567" s="54"/>
      <c r="E567" s="54"/>
      <c r="F567" s="54"/>
    </row>
    <row r="568">
      <c r="A568" s="67">
        <v>23833.0</v>
      </c>
      <c r="B568" s="68">
        <v>4.8</v>
      </c>
      <c r="C568" s="54"/>
      <c r="D568" s="54"/>
      <c r="E568" s="54"/>
      <c r="F568" s="54"/>
    </row>
    <row r="569">
      <c r="A569" s="67">
        <v>23863.0</v>
      </c>
      <c r="B569" s="68">
        <v>4.6</v>
      </c>
      <c r="C569" s="54"/>
      <c r="D569" s="54"/>
      <c r="E569" s="54"/>
      <c r="F569" s="54"/>
    </row>
    <row r="570">
      <c r="A570" s="67">
        <v>23894.0</v>
      </c>
      <c r="B570" s="68">
        <v>4.6</v>
      </c>
      <c r="C570" s="54"/>
      <c r="D570" s="54"/>
      <c r="E570" s="54"/>
      <c r="F570" s="54"/>
    </row>
    <row r="571">
      <c r="A571" s="67">
        <v>23924.0</v>
      </c>
      <c r="B571" s="68">
        <v>4.4</v>
      </c>
      <c r="C571" s="54"/>
      <c r="D571" s="54"/>
      <c r="E571" s="54"/>
      <c r="F571" s="54"/>
    </row>
    <row r="572">
      <c r="A572" s="67">
        <v>23955.0</v>
      </c>
      <c r="B572" s="68">
        <v>4.4</v>
      </c>
      <c r="C572" s="54"/>
      <c r="D572" s="54"/>
      <c r="E572" s="54"/>
      <c r="F572" s="54"/>
    </row>
    <row r="573">
      <c r="A573" s="67">
        <v>23986.0</v>
      </c>
      <c r="B573" s="68">
        <v>4.3</v>
      </c>
      <c r="C573" s="54"/>
      <c r="D573" s="54"/>
      <c r="E573" s="54"/>
      <c r="F573" s="54"/>
    </row>
    <row r="574">
      <c r="A574" s="67">
        <v>24016.0</v>
      </c>
      <c r="B574" s="68">
        <v>4.2</v>
      </c>
      <c r="C574" s="54"/>
      <c r="D574" s="54"/>
      <c r="E574" s="54"/>
      <c r="F574" s="54"/>
    </row>
    <row r="575">
      <c r="A575" s="67">
        <v>24047.0</v>
      </c>
      <c r="B575" s="68">
        <v>4.1</v>
      </c>
      <c r="C575" s="54"/>
      <c r="D575" s="54"/>
      <c r="E575" s="54"/>
      <c r="F575" s="54"/>
    </row>
    <row r="576">
      <c r="A576" s="67">
        <v>24077.0</v>
      </c>
      <c r="B576" s="68">
        <v>4.0</v>
      </c>
      <c r="C576" s="54"/>
      <c r="D576" s="54"/>
      <c r="E576" s="54"/>
      <c r="F576" s="54"/>
    </row>
    <row r="577">
      <c r="A577" s="67">
        <v>24108.0</v>
      </c>
      <c r="B577" s="68">
        <v>4.0</v>
      </c>
      <c r="C577" s="54"/>
      <c r="D577" s="54"/>
      <c r="E577" s="54"/>
      <c r="F577" s="54"/>
    </row>
    <row r="578">
      <c r="A578" s="67">
        <v>24139.0</v>
      </c>
      <c r="B578" s="68">
        <v>3.8</v>
      </c>
      <c r="C578" s="54"/>
      <c r="D578" s="54"/>
      <c r="E578" s="54"/>
      <c r="F578" s="54"/>
    </row>
    <row r="579">
      <c r="A579" s="67">
        <v>24167.0</v>
      </c>
      <c r="B579" s="68">
        <v>3.8</v>
      </c>
      <c r="C579" s="54"/>
      <c r="D579" s="54"/>
      <c r="E579" s="54"/>
      <c r="F579" s="54"/>
    </row>
    <row r="580">
      <c r="A580" s="67">
        <v>24198.0</v>
      </c>
      <c r="B580" s="68">
        <v>3.8</v>
      </c>
      <c r="C580" s="54"/>
      <c r="D580" s="54"/>
      <c r="E580" s="54"/>
      <c r="F580" s="54"/>
    </row>
    <row r="581">
      <c r="A581" s="67">
        <v>24228.0</v>
      </c>
      <c r="B581" s="68">
        <v>3.9</v>
      </c>
      <c r="C581" s="54"/>
      <c r="D581" s="54"/>
      <c r="E581" s="54"/>
      <c r="F581" s="54"/>
    </row>
    <row r="582">
      <c r="A582" s="67">
        <v>24259.0</v>
      </c>
      <c r="B582" s="68">
        <v>3.8</v>
      </c>
      <c r="C582" s="54"/>
      <c r="D582" s="54"/>
      <c r="E582" s="54"/>
      <c r="F582" s="54"/>
    </row>
    <row r="583">
      <c r="A583" s="67">
        <v>24289.0</v>
      </c>
      <c r="B583" s="68">
        <v>3.8</v>
      </c>
      <c r="C583" s="54"/>
      <c r="D583" s="54"/>
      <c r="E583" s="54"/>
      <c r="F583" s="54"/>
    </row>
    <row r="584">
      <c r="A584" s="67">
        <v>24320.0</v>
      </c>
      <c r="B584" s="68">
        <v>3.8</v>
      </c>
      <c r="C584" s="54"/>
      <c r="D584" s="54"/>
      <c r="E584" s="54"/>
      <c r="F584" s="54"/>
    </row>
    <row r="585">
      <c r="A585" s="67">
        <v>24351.0</v>
      </c>
      <c r="B585" s="68">
        <v>3.7</v>
      </c>
      <c r="C585" s="54"/>
      <c r="D585" s="54"/>
      <c r="E585" s="54"/>
      <c r="F585" s="54"/>
    </row>
    <row r="586">
      <c r="A586" s="67">
        <v>24381.0</v>
      </c>
      <c r="B586" s="68">
        <v>3.7</v>
      </c>
      <c r="C586" s="54"/>
      <c r="D586" s="54"/>
      <c r="E586" s="54"/>
      <c r="F586" s="54"/>
    </row>
    <row r="587">
      <c r="A587" s="67">
        <v>24412.0</v>
      </c>
      <c r="B587" s="68">
        <v>3.6</v>
      </c>
      <c r="C587" s="54"/>
      <c r="D587" s="54"/>
      <c r="E587" s="54"/>
      <c r="F587" s="54"/>
    </row>
    <row r="588">
      <c r="A588" s="67">
        <v>24442.0</v>
      </c>
      <c r="B588" s="68">
        <v>3.8</v>
      </c>
      <c r="C588" s="54"/>
      <c r="D588" s="54"/>
      <c r="E588" s="54"/>
      <c r="F588" s="54"/>
    </row>
    <row r="589">
      <c r="A589" s="67">
        <v>24473.0</v>
      </c>
      <c r="B589" s="68">
        <v>3.9</v>
      </c>
      <c r="C589" s="54"/>
      <c r="D589" s="54"/>
      <c r="E589" s="54"/>
      <c r="F589" s="54"/>
    </row>
    <row r="590">
      <c r="A590" s="67">
        <v>24504.0</v>
      </c>
      <c r="B590" s="68">
        <v>3.8</v>
      </c>
      <c r="C590" s="54"/>
      <c r="D590" s="54"/>
      <c r="E590" s="54"/>
      <c r="F590" s="54"/>
    </row>
    <row r="591">
      <c r="A591" s="67">
        <v>24532.0</v>
      </c>
      <c r="B591" s="68">
        <v>3.8</v>
      </c>
      <c r="C591" s="54"/>
      <c r="D591" s="54"/>
      <c r="E591" s="54"/>
      <c r="F591" s="54"/>
    </row>
    <row r="592">
      <c r="A592" s="67">
        <v>24563.0</v>
      </c>
      <c r="B592" s="68">
        <v>3.8</v>
      </c>
      <c r="C592" s="54"/>
      <c r="D592" s="54"/>
      <c r="E592" s="54"/>
      <c r="F592" s="54"/>
    </row>
    <row r="593">
      <c r="A593" s="67">
        <v>24593.0</v>
      </c>
      <c r="B593" s="68">
        <v>3.8</v>
      </c>
      <c r="C593" s="54"/>
      <c r="D593" s="54"/>
      <c r="E593" s="54"/>
      <c r="F593" s="54"/>
    </row>
    <row r="594">
      <c r="A594" s="67">
        <v>24624.0</v>
      </c>
      <c r="B594" s="68">
        <v>3.9</v>
      </c>
      <c r="C594" s="54"/>
      <c r="D594" s="54"/>
      <c r="E594" s="54"/>
      <c r="F594" s="54"/>
    </row>
    <row r="595">
      <c r="A595" s="67">
        <v>24654.0</v>
      </c>
      <c r="B595" s="68">
        <v>3.8</v>
      </c>
      <c r="C595" s="54"/>
      <c r="D595" s="54"/>
      <c r="E595" s="54"/>
      <c r="F595" s="54"/>
    </row>
    <row r="596">
      <c r="A596" s="67">
        <v>24685.0</v>
      </c>
      <c r="B596" s="68">
        <v>3.8</v>
      </c>
      <c r="C596" s="54"/>
      <c r="D596" s="54"/>
      <c r="E596" s="54"/>
      <c r="F596" s="54"/>
    </row>
    <row r="597">
      <c r="A597" s="67">
        <v>24716.0</v>
      </c>
      <c r="B597" s="68">
        <v>3.8</v>
      </c>
      <c r="C597" s="54"/>
      <c r="D597" s="54"/>
      <c r="E597" s="54"/>
      <c r="F597" s="54"/>
    </row>
    <row r="598">
      <c r="A598" s="67">
        <v>24746.0</v>
      </c>
      <c r="B598" s="68">
        <v>4.0</v>
      </c>
      <c r="C598" s="54"/>
      <c r="D598" s="54"/>
      <c r="E598" s="54"/>
      <c r="F598" s="54"/>
    </row>
    <row r="599">
      <c r="A599" s="67">
        <v>24777.0</v>
      </c>
      <c r="B599" s="68">
        <v>3.9</v>
      </c>
      <c r="C599" s="54"/>
      <c r="D599" s="54"/>
      <c r="E599" s="54"/>
      <c r="F599" s="54"/>
    </row>
    <row r="600">
      <c r="A600" s="67">
        <v>24807.0</v>
      </c>
      <c r="B600" s="68">
        <v>3.8</v>
      </c>
      <c r="C600" s="54"/>
      <c r="D600" s="54"/>
      <c r="E600" s="54"/>
      <c r="F600" s="54"/>
    </row>
    <row r="601">
      <c r="A601" s="67">
        <v>24838.0</v>
      </c>
      <c r="B601" s="68">
        <v>3.7</v>
      </c>
      <c r="C601" s="54"/>
      <c r="D601" s="54"/>
      <c r="E601" s="54"/>
      <c r="F601" s="54"/>
    </row>
    <row r="602">
      <c r="A602" s="67">
        <v>24869.0</v>
      </c>
      <c r="B602" s="68">
        <v>3.8</v>
      </c>
      <c r="C602" s="54"/>
      <c r="D602" s="54"/>
      <c r="E602" s="54"/>
      <c r="F602" s="54"/>
    </row>
    <row r="603">
      <c r="A603" s="67">
        <v>24898.0</v>
      </c>
      <c r="B603" s="68">
        <v>3.7</v>
      </c>
      <c r="C603" s="54"/>
      <c r="D603" s="54"/>
      <c r="E603" s="54"/>
      <c r="F603" s="54"/>
    </row>
    <row r="604">
      <c r="A604" s="67">
        <v>24929.0</v>
      </c>
      <c r="B604" s="68">
        <v>3.5</v>
      </c>
      <c r="C604" s="54"/>
      <c r="D604" s="54"/>
      <c r="E604" s="54"/>
      <c r="F604" s="54"/>
    </row>
    <row r="605">
      <c r="A605" s="67">
        <v>24959.0</v>
      </c>
      <c r="B605" s="68">
        <v>3.5</v>
      </c>
      <c r="C605" s="54"/>
      <c r="D605" s="54"/>
      <c r="E605" s="54"/>
      <c r="F605" s="54"/>
    </row>
    <row r="606">
      <c r="A606" s="67">
        <v>24990.0</v>
      </c>
      <c r="B606" s="68">
        <v>3.7</v>
      </c>
      <c r="C606" s="54"/>
      <c r="D606" s="54"/>
      <c r="E606" s="54"/>
      <c r="F606" s="54"/>
    </row>
    <row r="607">
      <c r="A607" s="67">
        <v>25020.0</v>
      </c>
      <c r="B607" s="68">
        <v>3.7</v>
      </c>
      <c r="C607" s="54"/>
      <c r="D607" s="54"/>
      <c r="E607" s="54"/>
      <c r="F607" s="54"/>
    </row>
    <row r="608">
      <c r="A608" s="67">
        <v>25051.0</v>
      </c>
      <c r="B608" s="68">
        <v>3.5</v>
      </c>
      <c r="C608" s="54"/>
      <c r="D608" s="54"/>
      <c r="E608" s="54"/>
      <c r="F608" s="54"/>
    </row>
    <row r="609">
      <c r="A609" s="67">
        <v>25082.0</v>
      </c>
      <c r="B609" s="68">
        <v>3.4</v>
      </c>
      <c r="C609" s="54"/>
      <c r="D609" s="54"/>
      <c r="E609" s="54"/>
      <c r="F609" s="54"/>
    </row>
    <row r="610">
      <c r="A610" s="67">
        <v>25112.0</v>
      </c>
      <c r="B610" s="68">
        <v>3.4</v>
      </c>
      <c r="C610" s="54"/>
      <c r="D610" s="54"/>
      <c r="E610" s="54"/>
      <c r="F610" s="54"/>
    </row>
    <row r="611">
      <c r="A611" s="67">
        <v>25143.0</v>
      </c>
      <c r="B611" s="68">
        <v>3.4</v>
      </c>
      <c r="C611" s="54"/>
      <c r="D611" s="54"/>
      <c r="E611" s="54"/>
      <c r="F611" s="54"/>
    </row>
    <row r="612">
      <c r="A612" s="67">
        <v>25173.0</v>
      </c>
      <c r="B612" s="68">
        <v>3.4</v>
      </c>
      <c r="C612" s="54"/>
      <c r="D612" s="54"/>
      <c r="E612" s="54"/>
      <c r="F612" s="54"/>
    </row>
    <row r="613">
      <c r="A613" s="67">
        <v>25204.0</v>
      </c>
      <c r="B613" s="68">
        <v>3.4</v>
      </c>
      <c r="C613" s="54"/>
      <c r="D613" s="54"/>
      <c r="E613" s="54"/>
      <c r="F613" s="54"/>
    </row>
    <row r="614">
      <c r="A614" s="67">
        <v>25235.0</v>
      </c>
      <c r="B614" s="68">
        <v>3.4</v>
      </c>
      <c r="C614" s="54"/>
      <c r="D614" s="54"/>
      <c r="E614" s="54"/>
      <c r="F614" s="54"/>
    </row>
    <row r="615">
      <c r="A615" s="67">
        <v>25263.0</v>
      </c>
      <c r="B615" s="68">
        <v>3.4</v>
      </c>
      <c r="C615" s="54"/>
      <c r="D615" s="54"/>
      <c r="E615" s="54"/>
      <c r="F615" s="54"/>
    </row>
    <row r="616">
      <c r="A616" s="67">
        <v>25294.0</v>
      </c>
      <c r="B616" s="68">
        <v>3.4</v>
      </c>
      <c r="C616" s="54"/>
      <c r="D616" s="54"/>
      <c r="E616" s="54"/>
      <c r="F616" s="54"/>
    </row>
    <row r="617">
      <c r="A617" s="67">
        <v>25324.0</v>
      </c>
      <c r="B617" s="68">
        <v>3.4</v>
      </c>
      <c r="C617" s="54"/>
      <c r="D617" s="54"/>
      <c r="E617" s="54"/>
      <c r="F617" s="54"/>
    </row>
    <row r="618">
      <c r="A618" s="67">
        <v>25355.0</v>
      </c>
      <c r="B618" s="68">
        <v>3.5</v>
      </c>
      <c r="C618" s="54"/>
      <c r="D618" s="54"/>
      <c r="E618" s="54"/>
      <c r="F618" s="54"/>
    </row>
    <row r="619">
      <c r="A619" s="67">
        <v>25385.0</v>
      </c>
      <c r="B619" s="68">
        <v>3.5</v>
      </c>
      <c r="C619" s="54"/>
      <c r="D619" s="54"/>
      <c r="E619" s="54"/>
      <c r="F619" s="54"/>
    </row>
    <row r="620">
      <c r="A620" s="67">
        <v>25416.0</v>
      </c>
      <c r="B620" s="68">
        <v>3.5</v>
      </c>
      <c r="C620" s="54"/>
      <c r="D620" s="54"/>
      <c r="E620" s="54"/>
      <c r="F620" s="54"/>
    </row>
    <row r="621">
      <c r="A621" s="67">
        <v>25447.0</v>
      </c>
      <c r="B621" s="68">
        <v>3.7</v>
      </c>
      <c r="C621" s="54"/>
      <c r="D621" s="54"/>
      <c r="E621" s="54"/>
      <c r="F621" s="54"/>
    </row>
    <row r="622">
      <c r="A622" s="67">
        <v>25477.0</v>
      </c>
      <c r="B622" s="68">
        <v>3.7</v>
      </c>
      <c r="C622" s="54"/>
      <c r="D622" s="54"/>
      <c r="E622" s="54"/>
      <c r="F622" s="54"/>
    </row>
    <row r="623">
      <c r="A623" s="67">
        <v>25508.0</v>
      </c>
      <c r="B623" s="68">
        <v>3.5</v>
      </c>
      <c r="C623" s="54"/>
      <c r="D623" s="54"/>
      <c r="E623" s="54"/>
      <c r="F623" s="54"/>
    </row>
    <row r="624">
      <c r="A624" s="67">
        <v>25538.0</v>
      </c>
      <c r="B624" s="68">
        <v>3.5</v>
      </c>
      <c r="C624" s="54"/>
      <c r="D624" s="54"/>
      <c r="E624" s="54"/>
      <c r="F624" s="54"/>
    </row>
    <row r="625">
      <c r="A625" s="67">
        <v>25569.0</v>
      </c>
      <c r="B625" s="68">
        <v>3.9</v>
      </c>
      <c r="C625" s="54"/>
      <c r="D625" s="54"/>
      <c r="E625" s="54"/>
      <c r="F625" s="54"/>
    </row>
    <row r="626">
      <c r="A626" s="67">
        <v>25600.0</v>
      </c>
      <c r="B626" s="68">
        <v>4.2</v>
      </c>
      <c r="C626" s="54"/>
      <c r="D626" s="54"/>
      <c r="E626" s="54"/>
      <c r="F626" s="54"/>
    </row>
    <row r="627">
      <c r="A627" s="67">
        <v>25628.0</v>
      </c>
      <c r="B627" s="68">
        <v>4.4</v>
      </c>
      <c r="C627" s="54"/>
      <c r="D627" s="54"/>
      <c r="E627" s="54"/>
      <c r="F627" s="54"/>
    </row>
    <row r="628">
      <c r="A628" s="67">
        <v>25659.0</v>
      </c>
      <c r="B628" s="68">
        <v>4.6</v>
      </c>
      <c r="C628" s="54"/>
      <c r="D628" s="54"/>
      <c r="E628" s="54"/>
      <c r="F628" s="54"/>
    </row>
    <row r="629">
      <c r="A629" s="67">
        <v>25689.0</v>
      </c>
      <c r="B629" s="68">
        <v>4.8</v>
      </c>
      <c r="C629" s="54"/>
      <c r="D629" s="54"/>
      <c r="E629" s="54"/>
      <c r="F629" s="54"/>
    </row>
    <row r="630">
      <c r="A630" s="67">
        <v>25720.0</v>
      </c>
      <c r="B630" s="68">
        <v>4.9</v>
      </c>
      <c r="C630" s="54"/>
      <c r="D630" s="54"/>
      <c r="E630" s="54"/>
      <c r="F630" s="54"/>
    </row>
    <row r="631">
      <c r="A631" s="67">
        <v>25750.0</v>
      </c>
      <c r="B631" s="68">
        <v>5.0</v>
      </c>
      <c r="C631" s="54"/>
      <c r="D631" s="54"/>
      <c r="E631" s="54"/>
      <c r="F631" s="54"/>
    </row>
    <row r="632">
      <c r="A632" s="67">
        <v>25781.0</v>
      </c>
      <c r="B632" s="68">
        <v>5.1</v>
      </c>
      <c r="C632" s="54"/>
      <c r="D632" s="54"/>
      <c r="E632" s="54"/>
      <c r="F632" s="54"/>
    </row>
    <row r="633">
      <c r="A633" s="67">
        <v>25812.0</v>
      </c>
      <c r="B633" s="68">
        <v>5.4</v>
      </c>
      <c r="C633" s="54"/>
      <c r="D633" s="54"/>
      <c r="E633" s="54"/>
      <c r="F633" s="54"/>
    </row>
    <row r="634">
      <c r="A634" s="67">
        <v>25842.0</v>
      </c>
      <c r="B634" s="68">
        <v>5.5</v>
      </c>
      <c r="C634" s="54"/>
      <c r="D634" s="54"/>
      <c r="E634" s="54"/>
      <c r="F634" s="54"/>
    </row>
    <row r="635">
      <c r="A635" s="67">
        <v>25873.0</v>
      </c>
      <c r="B635" s="68">
        <v>5.9</v>
      </c>
      <c r="C635" s="54"/>
      <c r="D635" s="54"/>
      <c r="E635" s="54"/>
      <c r="F635" s="54"/>
    </row>
    <row r="636">
      <c r="A636" s="67">
        <v>25903.0</v>
      </c>
      <c r="B636" s="68">
        <v>6.1</v>
      </c>
      <c r="C636" s="54"/>
      <c r="D636" s="54"/>
      <c r="E636" s="54"/>
      <c r="F636" s="54"/>
    </row>
    <row r="637">
      <c r="A637" s="67">
        <v>25934.0</v>
      </c>
      <c r="B637" s="68">
        <v>5.9</v>
      </c>
      <c r="C637" s="54"/>
      <c r="D637" s="54"/>
      <c r="E637" s="54"/>
      <c r="F637" s="54"/>
    </row>
    <row r="638">
      <c r="A638" s="67">
        <v>25965.0</v>
      </c>
      <c r="B638" s="68">
        <v>5.9</v>
      </c>
      <c r="C638" s="54"/>
      <c r="D638" s="54"/>
      <c r="E638" s="54"/>
      <c r="F638" s="54"/>
    </row>
    <row r="639">
      <c r="A639" s="67">
        <v>25993.0</v>
      </c>
      <c r="B639" s="68">
        <v>6.0</v>
      </c>
      <c r="C639" s="54"/>
      <c r="D639" s="54"/>
      <c r="E639" s="54"/>
      <c r="F639" s="54"/>
    </row>
    <row r="640">
      <c r="A640" s="67">
        <v>26024.0</v>
      </c>
      <c r="B640" s="68">
        <v>5.9</v>
      </c>
      <c r="C640" s="54"/>
      <c r="D640" s="54"/>
      <c r="E640" s="54"/>
      <c r="F640" s="54"/>
    </row>
    <row r="641">
      <c r="A641" s="67">
        <v>26054.0</v>
      </c>
      <c r="B641" s="68">
        <v>5.9</v>
      </c>
      <c r="C641" s="54"/>
      <c r="D641" s="54"/>
      <c r="E641" s="54"/>
      <c r="F641" s="54"/>
    </row>
    <row r="642">
      <c r="A642" s="67">
        <v>26085.0</v>
      </c>
      <c r="B642" s="68">
        <v>5.9</v>
      </c>
      <c r="C642" s="54"/>
      <c r="D642" s="54"/>
      <c r="E642" s="54"/>
      <c r="F642" s="54"/>
    </row>
    <row r="643">
      <c r="A643" s="67">
        <v>26115.0</v>
      </c>
      <c r="B643" s="68">
        <v>6.0</v>
      </c>
      <c r="C643" s="54"/>
      <c r="D643" s="54"/>
      <c r="E643" s="54"/>
      <c r="F643" s="54"/>
    </row>
    <row r="644">
      <c r="A644" s="67">
        <v>26146.0</v>
      </c>
      <c r="B644" s="68">
        <v>6.1</v>
      </c>
      <c r="C644" s="54"/>
      <c r="D644" s="54"/>
      <c r="E644" s="54"/>
      <c r="F644" s="54"/>
    </row>
    <row r="645">
      <c r="A645" s="67">
        <v>26177.0</v>
      </c>
      <c r="B645" s="68">
        <v>6.0</v>
      </c>
      <c r="C645" s="54"/>
      <c r="D645" s="54"/>
      <c r="E645" s="54"/>
      <c r="F645" s="54"/>
    </row>
    <row r="646">
      <c r="A646" s="67">
        <v>26207.0</v>
      </c>
      <c r="B646" s="68">
        <v>5.8</v>
      </c>
      <c r="C646" s="54"/>
      <c r="D646" s="54"/>
      <c r="E646" s="54"/>
      <c r="F646" s="54"/>
    </row>
    <row r="647">
      <c r="A647" s="67">
        <v>26238.0</v>
      </c>
      <c r="B647" s="68">
        <v>6.0</v>
      </c>
      <c r="C647" s="54"/>
      <c r="D647" s="54"/>
      <c r="E647" s="54"/>
      <c r="F647" s="54"/>
    </row>
    <row r="648">
      <c r="A648" s="67">
        <v>26268.0</v>
      </c>
      <c r="B648" s="68">
        <v>6.0</v>
      </c>
      <c r="C648" s="54"/>
      <c r="D648" s="54"/>
      <c r="E648" s="54"/>
      <c r="F648" s="54"/>
    </row>
    <row r="649">
      <c r="A649" s="67">
        <v>26299.0</v>
      </c>
      <c r="B649" s="68">
        <v>5.8</v>
      </c>
      <c r="C649" s="54"/>
      <c r="D649" s="54"/>
      <c r="E649" s="54"/>
      <c r="F649" s="54"/>
    </row>
    <row r="650">
      <c r="A650" s="67">
        <v>26330.0</v>
      </c>
      <c r="B650" s="68">
        <v>5.7</v>
      </c>
      <c r="C650" s="54"/>
      <c r="D650" s="54"/>
      <c r="E650" s="54"/>
      <c r="F650" s="54"/>
    </row>
    <row r="651">
      <c r="A651" s="67">
        <v>26359.0</v>
      </c>
      <c r="B651" s="68">
        <v>5.8</v>
      </c>
      <c r="C651" s="54"/>
      <c r="D651" s="54"/>
      <c r="E651" s="54"/>
      <c r="F651" s="54"/>
    </row>
    <row r="652">
      <c r="A652" s="67">
        <v>26390.0</v>
      </c>
      <c r="B652" s="68">
        <v>5.7</v>
      </c>
      <c r="C652" s="54"/>
      <c r="D652" s="54"/>
      <c r="E652" s="54"/>
      <c r="F652" s="54"/>
    </row>
    <row r="653">
      <c r="A653" s="67">
        <v>26420.0</v>
      </c>
      <c r="B653" s="68">
        <v>5.7</v>
      </c>
      <c r="C653" s="54"/>
      <c r="D653" s="54"/>
      <c r="E653" s="54"/>
      <c r="F653" s="54"/>
    </row>
    <row r="654">
      <c r="A654" s="67">
        <v>26451.0</v>
      </c>
      <c r="B654" s="68">
        <v>5.7</v>
      </c>
      <c r="C654" s="54"/>
      <c r="D654" s="54"/>
      <c r="E654" s="54"/>
      <c r="F654" s="54"/>
    </row>
    <row r="655">
      <c r="A655" s="67">
        <v>26481.0</v>
      </c>
      <c r="B655" s="68">
        <v>5.6</v>
      </c>
      <c r="C655" s="54"/>
      <c r="D655" s="54"/>
      <c r="E655" s="54"/>
      <c r="F655" s="54"/>
    </row>
    <row r="656">
      <c r="A656" s="67">
        <v>26512.0</v>
      </c>
      <c r="B656" s="68">
        <v>5.6</v>
      </c>
      <c r="C656" s="54"/>
      <c r="D656" s="54"/>
      <c r="E656" s="54"/>
      <c r="F656" s="54"/>
    </row>
    <row r="657">
      <c r="A657" s="67">
        <v>26543.0</v>
      </c>
      <c r="B657" s="68">
        <v>5.5</v>
      </c>
      <c r="C657" s="54"/>
      <c r="D657" s="54"/>
      <c r="E657" s="54"/>
      <c r="F657" s="54"/>
    </row>
    <row r="658">
      <c r="A658" s="67">
        <v>26573.0</v>
      </c>
      <c r="B658" s="68">
        <v>5.6</v>
      </c>
      <c r="C658" s="54"/>
      <c r="D658" s="54"/>
      <c r="E658" s="54"/>
      <c r="F658" s="54"/>
    </row>
    <row r="659">
      <c r="A659" s="67">
        <v>26604.0</v>
      </c>
      <c r="B659" s="68">
        <v>5.3</v>
      </c>
      <c r="C659" s="54"/>
      <c r="D659" s="54"/>
      <c r="E659" s="54"/>
      <c r="F659" s="54"/>
    </row>
    <row r="660">
      <c r="A660" s="67">
        <v>26634.0</v>
      </c>
      <c r="B660" s="68">
        <v>5.2</v>
      </c>
      <c r="C660" s="54"/>
      <c r="D660" s="54"/>
      <c r="E660" s="54"/>
      <c r="F660" s="54"/>
    </row>
    <row r="661">
      <c r="A661" s="67">
        <v>26665.0</v>
      </c>
      <c r="B661" s="68">
        <v>4.9</v>
      </c>
      <c r="C661" s="54"/>
      <c r="D661" s="54"/>
      <c r="E661" s="54"/>
      <c r="F661" s="54"/>
    </row>
    <row r="662">
      <c r="A662" s="67">
        <v>26696.0</v>
      </c>
      <c r="B662" s="68">
        <v>5.0</v>
      </c>
      <c r="C662" s="54"/>
      <c r="D662" s="54"/>
      <c r="E662" s="54"/>
      <c r="F662" s="54"/>
    </row>
    <row r="663">
      <c r="A663" s="67">
        <v>26724.0</v>
      </c>
      <c r="B663" s="68">
        <v>4.9</v>
      </c>
      <c r="C663" s="54"/>
      <c r="D663" s="54"/>
      <c r="E663" s="54"/>
      <c r="F663" s="54"/>
    </row>
    <row r="664">
      <c r="A664" s="67">
        <v>26755.0</v>
      </c>
      <c r="B664" s="68">
        <v>5.0</v>
      </c>
      <c r="C664" s="54"/>
      <c r="D664" s="54"/>
      <c r="E664" s="54"/>
      <c r="F664" s="54"/>
    </row>
    <row r="665">
      <c r="A665" s="67">
        <v>26785.0</v>
      </c>
      <c r="B665" s="68">
        <v>4.9</v>
      </c>
      <c r="C665" s="54"/>
      <c r="D665" s="54"/>
      <c r="E665" s="54"/>
      <c r="F665" s="54"/>
    </row>
    <row r="666">
      <c r="A666" s="67">
        <v>26816.0</v>
      </c>
      <c r="B666" s="68">
        <v>4.9</v>
      </c>
      <c r="C666" s="54"/>
      <c r="D666" s="54"/>
      <c r="E666" s="54"/>
      <c r="F666" s="54"/>
    </row>
    <row r="667">
      <c r="A667" s="67">
        <v>26846.0</v>
      </c>
      <c r="B667" s="68">
        <v>4.8</v>
      </c>
      <c r="C667" s="54"/>
      <c r="D667" s="54"/>
      <c r="E667" s="54"/>
      <c r="F667" s="54"/>
    </row>
    <row r="668">
      <c r="A668" s="67">
        <v>26877.0</v>
      </c>
      <c r="B668" s="68">
        <v>4.8</v>
      </c>
      <c r="C668" s="54"/>
      <c r="D668" s="54"/>
      <c r="E668" s="54"/>
      <c r="F668" s="54"/>
    </row>
    <row r="669">
      <c r="A669" s="67">
        <v>26908.0</v>
      </c>
      <c r="B669" s="68">
        <v>4.8</v>
      </c>
      <c r="C669" s="54"/>
      <c r="D669" s="54"/>
      <c r="E669" s="54"/>
      <c r="F669" s="54"/>
    </row>
    <row r="670">
      <c r="A670" s="67">
        <v>26938.0</v>
      </c>
      <c r="B670" s="68">
        <v>4.6</v>
      </c>
      <c r="C670" s="54"/>
      <c r="D670" s="54"/>
      <c r="E670" s="54"/>
      <c r="F670" s="54"/>
    </row>
    <row r="671">
      <c r="A671" s="67">
        <v>26969.0</v>
      </c>
      <c r="B671" s="68">
        <v>4.8</v>
      </c>
      <c r="C671" s="54"/>
      <c r="D671" s="54"/>
      <c r="E671" s="54"/>
      <c r="F671" s="54"/>
    </row>
    <row r="672">
      <c r="A672" s="67">
        <v>26999.0</v>
      </c>
      <c r="B672" s="68">
        <v>4.9</v>
      </c>
      <c r="C672" s="54"/>
      <c r="D672" s="54"/>
      <c r="E672" s="54"/>
      <c r="F672" s="54"/>
    </row>
    <row r="673">
      <c r="A673" s="67">
        <v>27030.0</v>
      </c>
      <c r="B673" s="68">
        <v>5.1</v>
      </c>
      <c r="C673" s="54"/>
      <c r="D673" s="54"/>
      <c r="E673" s="54"/>
      <c r="F673" s="54"/>
    </row>
    <row r="674">
      <c r="A674" s="67">
        <v>27061.0</v>
      </c>
      <c r="B674" s="68">
        <v>5.2</v>
      </c>
      <c r="C674" s="54"/>
      <c r="D674" s="54"/>
      <c r="E674" s="54"/>
      <c r="F674" s="54"/>
    </row>
    <row r="675">
      <c r="A675" s="67">
        <v>27089.0</v>
      </c>
      <c r="B675" s="68">
        <v>5.1</v>
      </c>
      <c r="C675" s="54"/>
      <c r="D675" s="54"/>
      <c r="E675" s="54"/>
      <c r="F675" s="54"/>
    </row>
    <row r="676">
      <c r="A676" s="67">
        <v>27120.0</v>
      </c>
      <c r="B676" s="68">
        <v>5.1</v>
      </c>
      <c r="C676" s="54"/>
      <c r="D676" s="54"/>
      <c r="E676" s="54"/>
      <c r="F676" s="54"/>
    </row>
    <row r="677">
      <c r="A677" s="67">
        <v>27150.0</v>
      </c>
      <c r="B677" s="68">
        <v>5.1</v>
      </c>
      <c r="C677" s="54"/>
      <c r="D677" s="54"/>
      <c r="E677" s="54"/>
      <c r="F677" s="54"/>
    </row>
    <row r="678">
      <c r="A678" s="67">
        <v>27181.0</v>
      </c>
      <c r="B678" s="68">
        <v>5.4</v>
      </c>
      <c r="C678" s="54"/>
      <c r="D678" s="54"/>
      <c r="E678" s="54"/>
      <c r="F678" s="54"/>
    </row>
    <row r="679">
      <c r="A679" s="67">
        <v>27211.0</v>
      </c>
      <c r="B679" s="68">
        <v>5.5</v>
      </c>
      <c r="C679" s="54"/>
      <c r="D679" s="54"/>
      <c r="E679" s="54"/>
      <c r="F679" s="54"/>
    </row>
    <row r="680">
      <c r="A680" s="67">
        <v>27242.0</v>
      </c>
      <c r="B680" s="68">
        <v>5.5</v>
      </c>
      <c r="C680" s="54"/>
      <c r="D680" s="54"/>
      <c r="E680" s="54"/>
      <c r="F680" s="54"/>
    </row>
    <row r="681">
      <c r="A681" s="67">
        <v>27273.0</v>
      </c>
      <c r="B681" s="68">
        <v>5.9</v>
      </c>
      <c r="C681" s="54"/>
      <c r="D681" s="54"/>
      <c r="E681" s="54"/>
      <c r="F681" s="54"/>
    </row>
    <row r="682">
      <c r="A682" s="67">
        <v>27303.0</v>
      </c>
      <c r="B682" s="68">
        <v>6.0</v>
      </c>
      <c r="C682" s="54"/>
      <c r="D682" s="54"/>
      <c r="E682" s="54"/>
      <c r="F682" s="54"/>
    </row>
    <row r="683">
      <c r="A683" s="67">
        <v>27334.0</v>
      </c>
      <c r="B683" s="68">
        <v>6.6</v>
      </c>
      <c r="C683" s="54"/>
      <c r="D683" s="54"/>
      <c r="E683" s="54"/>
      <c r="F683" s="54"/>
    </row>
    <row r="684">
      <c r="A684" s="67">
        <v>27364.0</v>
      </c>
      <c r="B684" s="68">
        <v>7.2</v>
      </c>
      <c r="C684" s="54"/>
      <c r="D684" s="54"/>
      <c r="E684" s="54"/>
      <c r="F684" s="54"/>
    </row>
    <row r="685">
      <c r="A685" s="67">
        <v>27395.0</v>
      </c>
      <c r="B685" s="68">
        <v>8.1</v>
      </c>
      <c r="C685" s="54"/>
      <c r="D685" s="54"/>
      <c r="E685" s="54"/>
      <c r="F685" s="54"/>
    </row>
    <row r="686">
      <c r="A686" s="67">
        <v>27426.0</v>
      </c>
      <c r="B686" s="68">
        <v>8.1</v>
      </c>
      <c r="C686" s="54"/>
      <c r="D686" s="54"/>
      <c r="E686" s="54"/>
      <c r="F686" s="54"/>
    </row>
    <row r="687">
      <c r="A687" s="67">
        <v>27454.0</v>
      </c>
      <c r="B687" s="68">
        <v>8.6</v>
      </c>
      <c r="C687" s="54"/>
      <c r="D687" s="54"/>
      <c r="E687" s="54"/>
      <c r="F687" s="54"/>
    </row>
    <row r="688">
      <c r="A688" s="67">
        <v>27485.0</v>
      </c>
      <c r="B688" s="68">
        <v>8.8</v>
      </c>
      <c r="C688" s="54"/>
      <c r="D688" s="54"/>
      <c r="E688" s="54"/>
      <c r="F688" s="54"/>
    </row>
    <row r="689">
      <c r="A689" s="67">
        <v>27515.0</v>
      </c>
      <c r="B689" s="68">
        <v>9.0</v>
      </c>
      <c r="C689" s="54"/>
      <c r="D689" s="54"/>
      <c r="E689" s="54"/>
      <c r="F689" s="54"/>
    </row>
    <row r="690">
      <c r="A690" s="67">
        <v>27546.0</v>
      </c>
      <c r="B690" s="68">
        <v>8.8</v>
      </c>
      <c r="C690" s="54"/>
      <c r="D690" s="54"/>
      <c r="E690" s="54"/>
      <c r="F690" s="54"/>
    </row>
    <row r="691">
      <c r="A691" s="67">
        <v>27576.0</v>
      </c>
      <c r="B691" s="68">
        <v>8.6</v>
      </c>
      <c r="C691" s="54"/>
      <c r="D691" s="54"/>
      <c r="E691" s="54"/>
      <c r="F691" s="54"/>
    </row>
    <row r="692">
      <c r="A692" s="67">
        <v>27607.0</v>
      </c>
      <c r="B692" s="68">
        <v>8.4</v>
      </c>
      <c r="C692" s="54"/>
      <c r="D692" s="54"/>
      <c r="E692" s="54"/>
      <c r="F692" s="54"/>
    </row>
    <row r="693">
      <c r="A693" s="67">
        <v>27638.0</v>
      </c>
      <c r="B693" s="68">
        <v>8.4</v>
      </c>
      <c r="C693" s="54"/>
      <c r="D693" s="54"/>
      <c r="E693" s="54"/>
      <c r="F693" s="54"/>
    </row>
    <row r="694">
      <c r="A694" s="67">
        <v>27668.0</v>
      </c>
      <c r="B694" s="68">
        <v>8.4</v>
      </c>
      <c r="C694" s="54"/>
      <c r="D694" s="54"/>
      <c r="E694" s="54"/>
      <c r="F694" s="54"/>
    </row>
    <row r="695">
      <c r="A695" s="67">
        <v>27699.0</v>
      </c>
      <c r="B695" s="68">
        <v>8.3</v>
      </c>
      <c r="C695" s="54"/>
      <c r="D695" s="54"/>
      <c r="E695" s="54"/>
      <c r="F695" s="54"/>
    </row>
    <row r="696">
      <c r="A696" s="67">
        <v>27729.0</v>
      </c>
      <c r="B696" s="68">
        <v>8.2</v>
      </c>
      <c r="C696" s="54"/>
      <c r="D696" s="54"/>
      <c r="E696" s="54"/>
      <c r="F696" s="54"/>
    </row>
    <row r="697">
      <c r="A697" s="67">
        <v>27760.0</v>
      </c>
      <c r="B697" s="68">
        <v>7.9</v>
      </c>
      <c r="C697" s="54"/>
      <c r="D697" s="54"/>
      <c r="E697" s="54"/>
      <c r="F697" s="54"/>
    </row>
    <row r="698">
      <c r="A698" s="67">
        <v>27791.0</v>
      </c>
      <c r="B698" s="68">
        <v>7.7</v>
      </c>
      <c r="C698" s="54"/>
      <c r="D698" s="54"/>
      <c r="E698" s="54"/>
      <c r="F698" s="54"/>
    </row>
    <row r="699">
      <c r="A699" s="67">
        <v>27820.0</v>
      </c>
      <c r="B699" s="68">
        <v>7.6</v>
      </c>
      <c r="C699" s="54"/>
      <c r="D699" s="54"/>
      <c r="E699" s="54"/>
      <c r="F699" s="54"/>
    </row>
    <row r="700">
      <c r="A700" s="67">
        <v>27851.0</v>
      </c>
      <c r="B700" s="68">
        <v>7.7</v>
      </c>
      <c r="C700" s="54"/>
      <c r="D700" s="54"/>
      <c r="E700" s="54"/>
      <c r="F700" s="54"/>
    </row>
    <row r="701">
      <c r="A701" s="67">
        <v>27881.0</v>
      </c>
      <c r="B701" s="68">
        <v>7.4</v>
      </c>
      <c r="C701" s="54"/>
      <c r="D701" s="54"/>
      <c r="E701" s="54"/>
      <c r="F701" s="54"/>
    </row>
    <row r="702">
      <c r="A702" s="67">
        <v>27912.0</v>
      </c>
      <c r="B702" s="68">
        <v>7.6</v>
      </c>
      <c r="C702" s="54"/>
      <c r="D702" s="54"/>
      <c r="E702" s="54"/>
      <c r="F702" s="54"/>
    </row>
    <row r="703">
      <c r="A703" s="67">
        <v>27942.0</v>
      </c>
      <c r="B703" s="68">
        <v>7.8</v>
      </c>
      <c r="C703" s="54"/>
      <c r="D703" s="54"/>
      <c r="E703" s="54"/>
      <c r="F703" s="54"/>
    </row>
    <row r="704">
      <c r="A704" s="67">
        <v>27973.0</v>
      </c>
      <c r="B704" s="68">
        <v>7.8</v>
      </c>
      <c r="C704" s="54"/>
      <c r="D704" s="54"/>
      <c r="E704" s="54"/>
      <c r="F704" s="54"/>
    </row>
    <row r="705">
      <c r="A705" s="67">
        <v>28004.0</v>
      </c>
      <c r="B705" s="68">
        <v>7.6</v>
      </c>
      <c r="C705" s="54"/>
      <c r="D705" s="54"/>
      <c r="E705" s="54"/>
      <c r="F705" s="54"/>
    </row>
    <row r="706">
      <c r="A706" s="67">
        <v>28034.0</v>
      </c>
      <c r="B706" s="68">
        <v>7.7</v>
      </c>
      <c r="C706" s="54"/>
      <c r="D706" s="54"/>
      <c r="E706" s="54"/>
      <c r="F706" s="54"/>
    </row>
    <row r="707">
      <c r="A707" s="67">
        <v>28065.0</v>
      </c>
      <c r="B707" s="68">
        <v>7.8</v>
      </c>
      <c r="C707" s="54"/>
      <c r="D707" s="54"/>
      <c r="E707" s="54"/>
      <c r="F707" s="54"/>
    </row>
    <row r="708">
      <c r="A708" s="67">
        <v>28095.0</v>
      </c>
      <c r="B708" s="68">
        <v>7.8</v>
      </c>
      <c r="C708" s="54"/>
      <c r="D708" s="54"/>
      <c r="E708" s="54"/>
      <c r="F708" s="54"/>
    </row>
    <row r="709">
      <c r="A709" s="67">
        <v>28126.0</v>
      </c>
      <c r="B709" s="68">
        <v>7.5</v>
      </c>
      <c r="C709" s="54"/>
      <c r="D709" s="54"/>
      <c r="E709" s="54"/>
      <c r="F709" s="54"/>
    </row>
    <row r="710">
      <c r="A710" s="67">
        <v>28157.0</v>
      </c>
      <c r="B710" s="68">
        <v>7.6</v>
      </c>
      <c r="C710" s="54"/>
      <c r="D710" s="54"/>
      <c r="E710" s="54"/>
      <c r="F710" s="54"/>
    </row>
    <row r="711">
      <c r="A711" s="67">
        <v>28185.0</v>
      </c>
      <c r="B711" s="68">
        <v>7.4</v>
      </c>
      <c r="C711" s="54"/>
      <c r="D711" s="54"/>
      <c r="E711" s="54"/>
      <c r="F711" s="54"/>
    </row>
    <row r="712">
      <c r="A712" s="67">
        <v>28216.0</v>
      </c>
      <c r="B712" s="68">
        <v>7.2</v>
      </c>
      <c r="C712" s="54"/>
      <c r="D712" s="54"/>
      <c r="E712" s="54"/>
      <c r="F712" s="54"/>
    </row>
    <row r="713">
      <c r="A713" s="67">
        <v>28246.0</v>
      </c>
      <c r="B713" s="68">
        <v>7.0</v>
      </c>
      <c r="C713" s="54"/>
      <c r="D713" s="54"/>
      <c r="E713" s="54"/>
      <c r="F713" s="54"/>
    </row>
    <row r="714">
      <c r="A714" s="67">
        <v>28277.0</v>
      </c>
      <c r="B714" s="68">
        <v>7.2</v>
      </c>
      <c r="C714" s="54"/>
      <c r="D714" s="54"/>
      <c r="E714" s="54"/>
      <c r="F714" s="54"/>
    </row>
    <row r="715">
      <c r="A715" s="67">
        <v>28307.0</v>
      </c>
      <c r="B715" s="68">
        <v>6.9</v>
      </c>
      <c r="C715" s="54"/>
      <c r="D715" s="54"/>
      <c r="E715" s="54"/>
      <c r="F715" s="54"/>
    </row>
    <row r="716">
      <c r="A716" s="67">
        <v>28338.0</v>
      </c>
      <c r="B716" s="68">
        <v>7.0</v>
      </c>
      <c r="C716" s="54"/>
      <c r="D716" s="54"/>
      <c r="E716" s="54"/>
      <c r="F716" s="54"/>
    </row>
    <row r="717">
      <c r="A717" s="67">
        <v>28369.0</v>
      </c>
      <c r="B717" s="68">
        <v>6.8</v>
      </c>
      <c r="C717" s="54"/>
      <c r="D717" s="54"/>
      <c r="E717" s="54"/>
      <c r="F717" s="54"/>
    </row>
    <row r="718">
      <c r="A718" s="67">
        <v>28399.0</v>
      </c>
      <c r="B718" s="68">
        <v>6.8</v>
      </c>
      <c r="C718" s="54"/>
      <c r="D718" s="54"/>
      <c r="E718" s="54"/>
      <c r="F718" s="54"/>
    </row>
    <row r="719">
      <c r="A719" s="67">
        <v>28430.0</v>
      </c>
      <c r="B719" s="68">
        <v>6.8</v>
      </c>
      <c r="C719" s="54"/>
      <c r="D719" s="54"/>
      <c r="E719" s="54"/>
      <c r="F719" s="54"/>
    </row>
    <row r="720">
      <c r="A720" s="67">
        <v>28460.0</v>
      </c>
      <c r="B720" s="68">
        <v>6.4</v>
      </c>
      <c r="C720" s="54"/>
      <c r="D720" s="54"/>
      <c r="E720" s="54"/>
      <c r="F720" s="54"/>
    </row>
    <row r="721">
      <c r="A721" s="67">
        <v>28491.0</v>
      </c>
      <c r="B721" s="68">
        <v>6.4</v>
      </c>
      <c r="C721" s="54"/>
      <c r="D721" s="54"/>
      <c r="E721" s="54"/>
      <c r="F721" s="54"/>
    </row>
    <row r="722">
      <c r="A722" s="67">
        <v>28522.0</v>
      </c>
      <c r="B722" s="68">
        <v>6.3</v>
      </c>
      <c r="C722" s="54"/>
      <c r="D722" s="54"/>
      <c r="E722" s="54"/>
      <c r="F722" s="54"/>
    </row>
    <row r="723">
      <c r="A723" s="67">
        <v>28550.0</v>
      </c>
      <c r="B723" s="68">
        <v>6.3</v>
      </c>
      <c r="C723" s="54"/>
      <c r="D723" s="54"/>
      <c r="E723" s="54"/>
      <c r="F723" s="54"/>
    </row>
    <row r="724">
      <c r="A724" s="67">
        <v>28581.0</v>
      </c>
      <c r="B724" s="68">
        <v>6.1</v>
      </c>
      <c r="C724" s="54"/>
      <c r="D724" s="54"/>
      <c r="E724" s="54"/>
      <c r="F724" s="54"/>
    </row>
    <row r="725">
      <c r="A725" s="67">
        <v>28611.0</v>
      </c>
      <c r="B725" s="68">
        <v>6.0</v>
      </c>
      <c r="C725" s="54"/>
      <c r="D725" s="54"/>
      <c r="E725" s="54"/>
      <c r="F725" s="54"/>
    </row>
    <row r="726">
      <c r="A726" s="67">
        <v>28642.0</v>
      </c>
      <c r="B726" s="68">
        <v>5.9</v>
      </c>
      <c r="C726" s="54"/>
      <c r="D726" s="54"/>
      <c r="E726" s="54"/>
      <c r="F726" s="54"/>
    </row>
    <row r="727">
      <c r="A727" s="67">
        <v>28672.0</v>
      </c>
      <c r="B727" s="68">
        <v>6.2</v>
      </c>
      <c r="C727" s="54"/>
      <c r="D727" s="54"/>
      <c r="E727" s="54"/>
      <c r="F727" s="54"/>
    </row>
    <row r="728">
      <c r="A728" s="67">
        <v>28703.0</v>
      </c>
      <c r="B728" s="68">
        <v>5.9</v>
      </c>
      <c r="C728" s="54"/>
      <c r="D728" s="54"/>
      <c r="E728" s="54"/>
      <c r="F728" s="54"/>
    </row>
    <row r="729">
      <c r="A729" s="67">
        <v>28734.0</v>
      </c>
      <c r="B729" s="68">
        <v>6.0</v>
      </c>
      <c r="C729" s="54"/>
      <c r="D729" s="54"/>
      <c r="E729" s="54"/>
      <c r="F729" s="54"/>
    </row>
    <row r="730">
      <c r="A730" s="67">
        <v>28764.0</v>
      </c>
      <c r="B730" s="68">
        <v>5.8</v>
      </c>
      <c r="C730" s="54"/>
      <c r="D730" s="54"/>
      <c r="E730" s="54"/>
      <c r="F730" s="54"/>
    </row>
    <row r="731">
      <c r="A731" s="67">
        <v>28795.0</v>
      </c>
      <c r="B731" s="68">
        <v>5.9</v>
      </c>
      <c r="C731" s="54"/>
      <c r="D731" s="54"/>
      <c r="E731" s="54"/>
      <c r="F731" s="54"/>
    </row>
    <row r="732">
      <c r="A732" s="67">
        <v>28825.0</v>
      </c>
      <c r="B732" s="68">
        <v>6.0</v>
      </c>
      <c r="C732" s="54"/>
      <c r="D732" s="54"/>
      <c r="E732" s="54"/>
      <c r="F732" s="54"/>
    </row>
    <row r="733">
      <c r="A733" s="67">
        <v>28856.0</v>
      </c>
      <c r="B733" s="68">
        <v>5.9</v>
      </c>
      <c r="C733" s="54"/>
      <c r="D733" s="54"/>
      <c r="E733" s="54"/>
      <c r="F733" s="54"/>
    </row>
    <row r="734">
      <c r="A734" s="67">
        <v>28887.0</v>
      </c>
      <c r="B734" s="68">
        <v>5.9</v>
      </c>
      <c r="C734" s="54"/>
      <c r="D734" s="54"/>
      <c r="E734" s="54"/>
      <c r="F734" s="54"/>
    </row>
    <row r="735">
      <c r="A735" s="67">
        <v>28915.0</v>
      </c>
      <c r="B735" s="68">
        <v>5.8</v>
      </c>
      <c r="C735" s="54"/>
      <c r="D735" s="54"/>
      <c r="E735" s="54"/>
      <c r="F735" s="54"/>
    </row>
    <row r="736">
      <c r="A736" s="67">
        <v>28946.0</v>
      </c>
      <c r="B736" s="68">
        <v>5.8</v>
      </c>
      <c r="C736" s="54"/>
      <c r="D736" s="54"/>
      <c r="E736" s="54"/>
      <c r="F736" s="54"/>
    </row>
    <row r="737">
      <c r="A737" s="67">
        <v>28976.0</v>
      </c>
      <c r="B737" s="68">
        <v>5.6</v>
      </c>
      <c r="C737" s="54"/>
      <c r="D737" s="54"/>
      <c r="E737" s="54"/>
      <c r="F737" s="54"/>
    </row>
    <row r="738">
      <c r="A738" s="67">
        <v>29007.0</v>
      </c>
      <c r="B738" s="68">
        <v>5.7</v>
      </c>
      <c r="C738" s="54"/>
      <c r="D738" s="54"/>
      <c r="E738" s="54"/>
      <c r="F738" s="54"/>
    </row>
    <row r="739">
      <c r="A739" s="67">
        <v>29037.0</v>
      </c>
      <c r="B739" s="68">
        <v>5.7</v>
      </c>
      <c r="C739" s="54"/>
      <c r="D739" s="54"/>
      <c r="E739" s="54"/>
      <c r="F739" s="54"/>
    </row>
    <row r="740">
      <c r="A740" s="67">
        <v>29068.0</v>
      </c>
      <c r="B740" s="68">
        <v>6.0</v>
      </c>
      <c r="C740" s="54"/>
      <c r="D740" s="54"/>
      <c r="E740" s="54"/>
      <c r="F740" s="54"/>
    </row>
    <row r="741">
      <c r="A741" s="67">
        <v>29099.0</v>
      </c>
      <c r="B741" s="68">
        <v>5.9</v>
      </c>
      <c r="C741" s="54"/>
      <c r="D741" s="54"/>
      <c r="E741" s="54"/>
      <c r="F741" s="54"/>
    </row>
    <row r="742">
      <c r="A742" s="67">
        <v>29129.0</v>
      </c>
      <c r="B742" s="68">
        <v>6.0</v>
      </c>
      <c r="C742" s="54"/>
      <c r="D742" s="54"/>
      <c r="E742" s="54"/>
      <c r="F742" s="54"/>
    </row>
    <row r="743">
      <c r="A743" s="67">
        <v>29160.0</v>
      </c>
      <c r="B743" s="68">
        <v>5.9</v>
      </c>
      <c r="C743" s="54"/>
      <c r="D743" s="54"/>
      <c r="E743" s="54"/>
      <c r="F743" s="54"/>
    </row>
    <row r="744">
      <c r="A744" s="67">
        <v>29190.0</v>
      </c>
      <c r="B744" s="68">
        <v>6.0</v>
      </c>
      <c r="C744" s="54"/>
      <c r="D744" s="54"/>
      <c r="E744" s="54"/>
      <c r="F744" s="54"/>
    </row>
    <row r="745">
      <c r="A745" s="67">
        <v>29221.0</v>
      </c>
      <c r="B745" s="68">
        <v>6.3</v>
      </c>
      <c r="C745" s="54"/>
      <c r="D745" s="54"/>
      <c r="E745" s="54"/>
      <c r="F745" s="54"/>
    </row>
    <row r="746">
      <c r="A746" s="67">
        <v>29252.0</v>
      </c>
      <c r="B746" s="68">
        <v>6.3</v>
      </c>
      <c r="C746" s="54"/>
      <c r="D746" s="54"/>
      <c r="E746" s="54"/>
      <c r="F746" s="54"/>
    </row>
    <row r="747">
      <c r="A747" s="67">
        <v>29281.0</v>
      </c>
      <c r="B747" s="68">
        <v>6.3</v>
      </c>
      <c r="C747" s="54"/>
      <c r="D747" s="54"/>
      <c r="E747" s="54"/>
      <c r="F747" s="54"/>
    </row>
    <row r="748">
      <c r="A748" s="67">
        <v>29312.0</v>
      </c>
      <c r="B748" s="68">
        <v>6.9</v>
      </c>
      <c r="C748" s="54"/>
      <c r="D748" s="54"/>
      <c r="E748" s="54"/>
      <c r="F748" s="54"/>
    </row>
    <row r="749">
      <c r="A749" s="67">
        <v>29342.0</v>
      </c>
      <c r="B749" s="68">
        <v>7.5</v>
      </c>
      <c r="C749" s="54"/>
      <c r="D749" s="54"/>
      <c r="E749" s="54"/>
      <c r="F749" s="54"/>
    </row>
    <row r="750">
      <c r="A750" s="67">
        <v>29373.0</v>
      </c>
      <c r="B750" s="68">
        <v>7.6</v>
      </c>
      <c r="C750" s="54"/>
      <c r="D750" s="54"/>
      <c r="E750" s="54"/>
      <c r="F750" s="54"/>
    </row>
    <row r="751">
      <c r="A751" s="67">
        <v>29403.0</v>
      </c>
      <c r="B751" s="68">
        <v>7.8</v>
      </c>
      <c r="C751" s="54"/>
      <c r="D751" s="54"/>
      <c r="E751" s="54"/>
      <c r="F751" s="54"/>
    </row>
    <row r="752">
      <c r="A752" s="67">
        <v>29434.0</v>
      </c>
      <c r="B752" s="68">
        <v>7.7</v>
      </c>
      <c r="C752" s="54"/>
      <c r="D752" s="54"/>
      <c r="E752" s="54"/>
      <c r="F752" s="54"/>
    </row>
    <row r="753">
      <c r="A753" s="67">
        <v>29465.0</v>
      </c>
      <c r="B753" s="68">
        <v>7.5</v>
      </c>
      <c r="C753" s="54"/>
      <c r="D753" s="54"/>
      <c r="E753" s="54"/>
      <c r="F753" s="54"/>
    </row>
    <row r="754">
      <c r="A754" s="67">
        <v>29495.0</v>
      </c>
      <c r="B754" s="68">
        <v>7.5</v>
      </c>
      <c r="C754" s="54"/>
      <c r="D754" s="54"/>
      <c r="E754" s="54"/>
      <c r="F754" s="54"/>
    </row>
    <row r="755">
      <c r="A755" s="67">
        <v>29526.0</v>
      </c>
      <c r="B755" s="68">
        <v>7.5</v>
      </c>
      <c r="C755" s="54"/>
      <c r="D755" s="54"/>
      <c r="E755" s="54"/>
      <c r="F755" s="54"/>
    </row>
    <row r="756">
      <c r="A756" s="67">
        <v>29556.0</v>
      </c>
      <c r="B756" s="68">
        <v>7.2</v>
      </c>
      <c r="C756" s="54"/>
      <c r="D756" s="54"/>
      <c r="E756" s="54"/>
      <c r="F756" s="54"/>
    </row>
    <row r="757">
      <c r="A757" s="67">
        <v>29587.0</v>
      </c>
      <c r="B757" s="68">
        <v>7.5</v>
      </c>
      <c r="C757" s="54"/>
      <c r="D757" s="54"/>
      <c r="E757" s="54"/>
      <c r="F757" s="54"/>
    </row>
    <row r="758">
      <c r="A758" s="67">
        <v>29618.0</v>
      </c>
      <c r="B758" s="68">
        <v>7.4</v>
      </c>
      <c r="C758" s="54"/>
      <c r="D758" s="54"/>
      <c r="E758" s="54"/>
      <c r="F758" s="54"/>
    </row>
    <row r="759">
      <c r="A759" s="67">
        <v>29646.0</v>
      </c>
      <c r="B759" s="68">
        <v>7.4</v>
      </c>
      <c r="C759" s="54"/>
      <c r="D759" s="54"/>
      <c r="E759" s="54"/>
      <c r="F759" s="54"/>
    </row>
    <row r="760">
      <c r="A760" s="67">
        <v>29677.0</v>
      </c>
      <c r="B760" s="68">
        <v>7.2</v>
      </c>
      <c r="C760" s="54"/>
      <c r="D760" s="54"/>
      <c r="E760" s="54"/>
      <c r="F760" s="54"/>
    </row>
    <row r="761">
      <c r="A761" s="67">
        <v>29707.0</v>
      </c>
      <c r="B761" s="68">
        <v>7.5</v>
      </c>
      <c r="C761" s="54"/>
      <c r="D761" s="54"/>
      <c r="E761" s="54"/>
      <c r="F761" s="54"/>
    </row>
    <row r="762">
      <c r="A762" s="67">
        <v>29738.0</v>
      </c>
      <c r="B762" s="68">
        <v>7.5</v>
      </c>
      <c r="C762" s="54"/>
      <c r="D762" s="54"/>
      <c r="E762" s="54"/>
      <c r="F762" s="54"/>
    </row>
    <row r="763">
      <c r="A763" s="67">
        <v>29768.0</v>
      </c>
      <c r="B763" s="68">
        <v>7.2</v>
      </c>
      <c r="C763" s="54"/>
      <c r="D763" s="54"/>
      <c r="E763" s="54"/>
      <c r="F763" s="54"/>
    </row>
    <row r="764">
      <c r="A764" s="67">
        <v>29799.0</v>
      </c>
      <c r="B764" s="68">
        <v>7.4</v>
      </c>
      <c r="C764" s="54"/>
      <c r="D764" s="54"/>
      <c r="E764" s="54"/>
      <c r="F764" s="54"/>
    </row>
    <row r="765">
      <c r="A765" s="67">
        <v>29830.0</v>
      </c>
      <c r="B765" s="68">
        <v>7.6</v>
      </c>
      <c r="C765" s="54"/>
      <c r="D765" s="54"/>
      <c r="E765" s="54"/>
      <c r="F765" s="54"/>
    </row>
    <row r="766">
      <c r="A766" s="67">
        <v>29860.0</v>
      </c>
      <c r="B766" s="68">
        <v>7.9</v>
      </c>
      <c r="C766" s="54"/>
      <c r="D766" s="54"/>
      <c r="E766" s="54"/>
      <c r="F766" s="54"/>
    </row>
    <row r="767">
      <c r="A767" s="67">
        <v>29891.0</v>
      </c>
      <c r="B767" s="68">
        <v>8.3</v>
      </c>
      <c r="C767" s="54"/>
      <c r="D767" s="54"/>
      <c r="E767" s="54"/>
      <c r="F767" s="54"/>
    </row>
    <row r="768">
      <c r="A768" s="67">
        <v>29921.0</v>
      </c>
      <c r="B768" s="68">
        <v>8.5</v>
      </c>
      <c r="C768" s="54"/>
      <c r="D768" s="54"/>
      <c r="E768" s="54"/>
      <c r="F768" s="54"/>
    </row>
    <row r="769">
      <c r="A769" s="67">
        <v>29952.0</v>
      </c>
      <c r="B769" s="68">
        <v>8.6</v>
      </c>
      <c r="C769" s="54"/>
      <c r="D769" s="54"/>
      <c r="E769" s="54"/>
      <c r="F769" s="54"/>
    </row>
    <row r="770">
      <c r="A770" s="67">
        <v>29983.0</v>
      </c>
      <c r="B770" s="68">
        <v>8.9</v>
      </c>
      <c r="C770" s="54"/>
      <c r="D770" s="54"/>
      <c r="E770" s="54"/>
      <c r="F770" s="54"/>
    </row>
    <row r="771">
      <c r="A771" s="67">
        <v>30011.0</v>
      </c>
      <c r="B771" s="68">
        <v>9.0</v>
      </c>
      <c r="C771" s="54"/>
      <c r="D771" s="54"/>
      <c r="E771" s="54"/>
      <c r="F771" s="54"/>
    </row>
    <row r="772">
      <c r="A772" s="67">
        <v>30042.0</v>
      </c>
      <c r="B772" s="68">
        <v>9.3</v>
      </c>
      <c r="C772" s="54"/>
      <c r="D772" s="54"/>
      <c r="E772" s="54"/>
      <c r="F772" s="54"/>
    </row>
    <row r="773">
      <c r="A773" s="67">
        <v>30072.0</v>
      </c>
      <c r="B773" s="68">
        <v>9.4</v>
      </c>
      <c r="C773" s="54"/>
      <c r="D773" s="54"/>
      <c r="E773" s="54"/>
      <c r="F773" s="54"/>
    </row>
    <row r="774">
      <c r="A774" s="67">
        <v>30103.0</v>
      </c>
      <c r="B774" s="68">
        <v>9.6</v>
      </c>
      <c r="C774" s="54"/>
      <c r="D774" s="54"/>
      <c r="E774" s="54"/>
      <c r="F774" s="54"/>
    </row>
    <row r="775">
      <c r="A775" s="67">
        <v>30133.0</v>
      </c>
      <c r="B775" s="68">
        <v>9.8</v>
      </c>
      <c r="C775" s="54"/>
      <c r="D775" s="54"/>
      <c r="E775" s="54"/>
      <c r="F775" s="54"/>
    </row>
    <row r="776">
      <c r="A776" s="67">
        <v>30164.0</v>
      </c>
      <c r="B776" s="68">
        <v>9.8</v>
      </c>
      <c r="C776" s="54"/>
      <c r="D776" s="54"/>
      <c r="E776" s="54"/>
      <c r="F776" s="54"/>
    </row>
    <row r="777">
      <c r="A777" s="67">
        <v>30195.0</v>
      </c>
      <c r="B777" s="68">
        <v>10.1</v>
      </c>
      <c r="C777" s="54"/>
      <c r="D777" s="54"/>
      <c r="E777" s="54"/>
      <c r="F777" s="54"/>
    </row>
    <row r="778">
      <c r="A778" s="67">
        <v>30225.0</v>
      </c>
      <c r="B778" s="68">
        <v>10.4</v>
      </c>
      <c r="C778" s="54"/>
      <c r="D778" s="54"/>
      <c r="E778" s="54"/>
      <c r="F778" s="54"/>
    </row>
    <row r="779">
      <c r="A779" s="67">
        <v>30256.0</v>
      </c>
      <c r="B779" s="68">
        <v>10.8</v>
      </c>
      <c r="C779" s="54"/>
      <c r="D779" s="54"/>
      <c r="E779" s="54"/>
      <c r="F779" s="54"/>
    </row>
    <row r="780">
      <c r="A780" s="67">
        <v>30286.0</v>
      </c>
      <c r="B780" s="68">
        <v>10.8</v>
      </c>
      <c r="C780" s="54"/>
      <c r="D780" s="54"/>
      <c r="E780" s="54"/>
      <c r="F780" s="54"/>
    </row>
    <row r="781">
      <c r="A781" s="67">
        <v>30317.0</v>
      </c>
      <c r="B781" s="68">
        <v>10.4</v>
      </c>
      <c r="C781" s="54"/>
      <c r="D781" s="54"/>
      <c r="E781" s="54"/>
      <c r="F781" s="54"/>
    </row>
    <row r="782">
      <c r="A782" s="67">
        <v>30348.0</v>
      </c>
      <c r="B782" s="68">
        <v>10.4</v>
      </c>
      <c r="C782" s="54"/>
      <c r="D782" s="54"/>
      <c r="E782" s="54"/>
      <c r="F782" s="54"/>
    </row>
    <row r="783">
      <c r="A783" s="67">
        <v>30376.0</v>
      </c>
      <c r="B783" s="68">
        <v>10.3</v>
      </c>
      <c r="C783" s="54"/>
      <c r="D783" s="54"/>
      <c r="E783" s="54"/>
      <c r="F783" s="54"/>
    </row>
    <row r="784">
      <c r="A784" s="67">
        <v>30407.0</v>
      </c>
      <c r="B784" s="68">
        <v>10.2</v>
      </c>
      <c r="C784" s="54"/>
      <c r="D784" s="54"/>
      <c r="E784" s="54"/>
      <c r="F784" s="54"/>
    </row>
    <row r="785">
      <c r="A785" s="67">
        <v>30437.0</v>
      </c>
      <c r="B785" s="68">
        <v>10.1</v>
      </c>
      <c r="C785" s="54"/>
      <c r="D785" s="54"/>
      <c r="E785" s="54"/>
      <c r="F785" s="54"/>
    </row>
    <row r="786">
      <c r="A786" s="67">
        <v>30468.0</v>
      </c>
      <c r="B786" s="68">
        <v>10.1</v>
      </c>
      <c r="C786" s="54"/>
      <c r="D786" s="54"/>
      <c r="E786" s="54"/>
      <c r="F786" s="54"/>
    </row>
    <row r="787">
      <c r="A787" s="67">
        <v>30498.0</v>
      </c>
      <c r="B787" s="68">
        <v>9.4</v>
      </c>
      <c r="C787" s="54"/>
      <c r="D787" s="54"/>
      <c r="E787" s="54"/>
      <c r="F787" s="54"/>
    </row>
    <row r="788">
      <c r="A788" s="67">
        <v>30529.0</v>
      </c>
      <c r="B788" s="68">
        <v>9.5</v>
      </c>
      <c r="C788" s="54"/>
      <c r="D788" s="54"/>
      <c r="E788" s="54"/>
      <c r="F788" s="54"/>
    </row>
    <row r="789">
      <c r="A789" s="67">
        <v>30560.0</v>
      </c>
      <c r="B789" s="68">
        <v>9.2</v>
      </c>
      <c r="C789" s="54"/>
      <c r="D789" s="54"/>
      <c r="E789" s="54"/>
      <c r="F789" s="54"/>
    </row>
    <row r="790">
      <c r="A790" s="67">
        <v>30590.0</v>
      </c>
      <c r="B790" s="68">
        <v>8.8</v>
      </c>
      <c r="C790" s="54"/>
      <c r="D790" s="54"/>
      <c r="E790" s="54"/>
      <c r="F790" s="54"/>
    </row>
    <row r="791">
      <c r="A791" s="67">
        <v>30621.0</v>
      </c>
      <c r="B791" s="68">
        <v>8.5</v>
      </c>
      <c r="C791" s="54"/>
      <c r="D791" s="54"/>
      <c r="E791" s="54"/>
      <c r="F791" s="54"/>
    </row>
    <row r="792">
      <c r="A792" s="67">
        <v>30651.0</v>
      </c>
      <c r="B792" s="68">
        <v>8.3</v>
      </c>
      <c r="C792" s="54"/>
      <c r="D792" s="54"/>
      <c r="E792" s="54"/>
      <c r="F792" s="54"/>
    </row>
    <row r="793">
      <c r="A793" s="67">
        <v>30682.0</v>
      </c>
      <c r="B793" s="68">
        <v>8.0</v>
      </c>
      <c r="C793" s="54"/>
      <c r="D793" s="54"/>
      <c r="E793" s="54"/>
      <c r="F793" s="54"/>
    </row>
    <row r="794">
      <c r="A794" s="67">
        <v>30713.0</v>
      </c>
      <c r="B794" s="68">
        <v>7.8</v>
      </c>
      <c r="C794" s="54"/>
      <c r="D794" s="54"/>
      <c r="E794" s="54"/>
      <c r="F794" s="54"/>
    </row>
    <row r="795">
      <c r="A795" s="67">
        <v>30742.0</v>
      </c>
      <c r="B795" s="68">
        <v>7.8</v>
      </c>
      <c r="C795" s="54"/>
      <c r="D795" s="54"/>
      <c r="E795" s="54"/>
      <c r="F795" s="54"/>
    </row>
    <row r="796">
      <c r="A796" s="67">
        <v>30773.0</v>
      </c>
      <c r="B796" s="68">
        <v>7.7</v>
      </c>
      <c r="C796" s="54"/>
      <c r="D796" s="54"/>
      <c r="E796" s="54"/>
      <c r="F796" s="54"/>
    </row>
    <row r="797">
      <c r="A797" s="67">
        <v>30803.0</v>
      </c>
      <c r="B797" s="68">
        <v>7.4</v>
      </c>
      <c r="C797" s="54"/>
      <c r="D797" s="54"/>
      <c r="E797" s="54"/>
      <c r="F797" s="54"/>
    </row>
    <row r="798">
      <c r="A798" s="67">
        <v>30834.0</v>
      </c>
      <c r="B798" s="68">
        <v>7.2</v>
      </c>
      <c r="C798" s="54"/>
      <c r="D798" s="54"/>
      <c r="E798" s="54"/>
      <c r="F798" s="54"/>
    </row>
    <row r="799">
      <c r="A799" s="67">
        <v>30864.0</v>
      </c>
      <c r="B799" s="68">
        <v>7.5</v>
      </c>
      <c r="C799" s="54"/>
      <c r="D799" s="54"/>
      <c r="E799" s="54"/>
      <c r="F799" s="54"/>
    </row>
    <row r="800">
      <c r="A800" s="67">
        <v>30895.0</v>
      </c>
      <c r="B800" s="68">
        <v>7.5</v>
      </c>
      <c r="C800" s="54"/>
      <c r="D800" s="54"/>
      <c r="E800" s="54"/>
      <c r="F800" s="54"/>
    </row>
    <row r="801">
      <c r="A801" s="67">
        <v>30926.0</v>
      </c>
      <c r="B801" s="68">
        <v>7.3</v>
      </c>
      <c r="C801" s="54"/>
      <c r="D801" s="54"/>
      <c r="E801" s="54"/>
      <c r="F801" s="54"/>
    </row>
    <row r="802">
      <c r="A802" s="67">
        <v>30956.0</v>
      </c>
      <c r="B802" s="68">
        <v>7.4</v>
      </c>
      <c r="C802" s="54"/>
      <c r="D802" s="54"/>
      <c r="E802" s="54"/>
      <c r="F802" s="54"/>
    </row>
    <row r="803">
      <c r="A803" s="67">
        <v>30987.0</v>
      </c>
      <c r="B803" s="68">
        <v>7.2</v>
      </c>
      <c r="C803" s="54"/>
      <c r="D803" s="54"/>
      <c r="E803" s="54"/>
      <c r="F803" s="54"/>
    </row>
    <row r="804">
      <c r="A804" s="67">
        <v>31017.0</v>
      </c>
      <c r="B804" s="68">
        <v>7.3</v>
      </c>
      <c r="C804" s="54"/>
      <c r="D804" s="54"/>
      <c r="E804" s="54"/>
      <c r="F804" s="54"/>
    </row>
    <row r="805">
      <c r="A805" s="67">
        <v>31048.0</v>
      </c>
      <c r="B805" s="68">
        <v>7.3</v>
      </c>
      <c r="C805" s="54"/>
      <c r="D805" s="54"/>
      <c r="E805" s="54"/>
      <c r="F805" s="54"/>
    </row>
    <row r="806">
      <c r="A806" s="67">
        <v>31079.0</v>
      </c>
      <c r="B806" s="68">
        <v>7.2</v>
      </c>
      <c r="C806" s="54"/>
      <c r="D806" s="54"/>
      <c r="E806" s="54"/>
      <c r="F806" s="54"/>
    </row>
    <row r="807">
      <c r="A807" s="67">
        <v>31107.0</v>
      </c>
      <c r="B807" s="68">
        <v>7.2</v>
      </c>
      <c r="C807" s="54"/>
      <c r="D807" s="54"/>
      <c r="E807" s="54"/>
      <c r="F807" s="54"/>
    </row>
    <row r="808">
      <c r="A808" s="67">
        <v>31138.0</v>
      </c>
      <c r="B808" s="68">
        <v>7.3</v>
      </c>
      <c r="C808" s="54"/>
      <c r="D808" s="54"/>
      <c r="E808" s="54"/>
      <c r="F808" s="54"/>
    </row>
    <row r="809">
      <c r="A809" s="67">
        <v>31168.0</v>
      </c>
      <c r="B809" s="68">
        <v>7.2</v>
      </c>
      <c r="C809" s="54"/>
      <c r="D809" s="54"/>
      <c r="E809" s="54"/>
      <c r="F809" s="54"/>
    </row>
    <row r="810">
      <c r="A810" s="67">
        <v>31199.0</v>
      </c>
      <c r="B810" s="68">
        <v>7.4</v>
      </c>
      <c r="C810" s="54"/>
      <c r="D810" s="54"/>
      <c r="E810" s="54"/>
      <c r="F810" s="54"/>
    </row>
    <row r="811">
      <c r="A811" s="67">
        <v>31229.0</v>
      </c>
      <c r="B811" s="68">
        <v>7.4</v>
      </c>
      <c r="C811" s="54"/>
      <c r="D811" s="54"/>
      <c r="E811" s="54"/>
      <c r="F811" s="54"/>
    </row>
    <row r="812">
      <c r="A812" s="67">
        <v>31260.0</v>
      </c>
      <c r="B812" s="68">
        <v>7.1</v>
      </c>
      <c r="C812" s="54"/>
      <c r="D812" s="54"/>
      <c r="E812" s="54"/>
      <c r="F812" s="54"/>
    </row>
    <row r="813">
      <c r="A813" s="67">
        <v>31291.0</v>
      </c>
      <c r="B813" s="68">
        <v>7.1</v>
      </c>
      <c r="C813" s="54"/>
      <c r="D813" s="54"/>
      <c r="E813" s="54"/>
      <c r="F813" s="54"/>
    </row>
    <row r="814">
      <c r="A814" s="67">
        <v>31321.0</v>
      </c>
      <c r="B814" s="68">
        <v>7.1</v>
      </c>
      <c r="C814" s="54"/>
      <c r="D814" s="54"/>
      <c r="E814" s="54"/>
      <c r="F814" s="54"/>
    </row>
    <row r="815">
      <c r="A815" s="67">
        <v>31352.0</v>
      </c>
      <c r="B815" s="68">
        <v>7.0</v>
      </c>
      <c r="C815" s="54"/>
      <c r="D815" s="54"/>
      <c r="E815" s="54"/>
      <c r="F815" s="54"/>
    </row>
    <row r="816">
      <c r="A816" s="67">
        <v>31382.0</v>
      </c>
      <c r="B816" s="68">
        <v>7.0</v>
      </c>
      <c r="C816" s="54"/>
      <c r="D816" s="54"/>
      <c r="E816" s="54"/>
      <c r="F816" s="54"/>
    </row>
    <row r="817">
      <c r="A817" s="67">
        <v>31413.0</v>
      </c>
      <c r="B817" s="68">
        <v>6.7</v>
      </c>
      <c r="C817" s="54"/>
      <c r="D817" s="54"/>
      <c r="E817" s="54"/>
      <c r="F817" s="54"/>
    </row>
    <row r="818">
      <c r="A818" s="67">
        <v>31444.0</v>
      </c>
      <c r="B818" s="68">
        <v>7.2</v>
      </c>
      <c r="C818" s="54"/>
      <c r="D818" s="54"/>
      <c r="E818" s="54"/>
      <c r="F818" s="54"/>
    </row>
    <row r="819">
      <c r="A819" s="67">
        <v>31472.0</v>
      </c>
      <c r="B819" s="68">
        <v>7.2</v>
      </c>
      <c r="C819" s="54"/>
      <c r="D819" s="54"/>
      <c r="E819" s="54"/>
      <c r="F819" s="54"/>
    </row>
    <row r="820">
      <c r="A820" s="67">
        <v>31503.0</v>
      </c>
      <c r="B820" s="68">
        <v>7.1</v>
      </c>
      <c r="C820" s="54"/>
      <c r="D820" s="54"/>
      <c r="E820" s="54"/>
      <c r="F820" s="54"/>
    </row>
    <row r="821">
      <c r="A821" s="67">
        <v>31533.0</v>
      </c>
      <c r="B821" s="68">
        <v>7.2</v>
      </c>
      <c r="C821" s="54"/>
      <c r="D821" s="54"/>
      <c r="E821" s="54"/>
      <c r="F821" s="54"/>
    </row>
    <row r="822">
      <c r="A822" s="67">
        <v>31564.0</v>
      </c>
      <c r="B822" s="68">
        <v>7.2</v>
      </c>
      <c r="C822" s="54"/>
      <c r="D822" s="54"/>
      <c r="E822" s="54"/>
      <c r="F822" s="54"/>
    </row>
    <row r="823">
      <c r="A823" s="67">
        <v>31594.0</v>
      </c>
      <c r="B823" s="68">
        <v>7.0</v>
      </c>
      <c r="C823" s="54"/>
      <c r="D823" s="54"/>
      <c r="E823" s="54"/>
      <c r="F823" s="54"/>
    </row>
    <row r="824">
      <c r="A824" s="67">
        <v>31625.0</v>
      </c>
      <c r="B824" s="68">
        <v>6.9</v>
      </c>
      <c r="C824" s="54"/>
      <c r="D824" s="54"/>
      <c r="E824" s="54"/>
      <c r="F824" s="54"/>
    </row>
    <row r="825">
      <c r="A825" s="67">
        <v>31656.0</v>
      </c>
      <c r="B825" s="68">
        <v>7.0</v>
      </c>
      <c r="C825" s="54"/>
      <c r="D825" s="54"/>
      <c r="E825" s="54"/>
      <c r="F825" s="54"/>
    </row>
    <row r="826">
      <c r="A826" s="67">
        <v>31686.0</v>
      </c>
      <c r="B826" s="68">
        <v>7.0</v>
      </c>
      <c r="C826" s="54"/>
      <c r="D826" s="54"/>
      <c r="E826" s="54"/>
      <c r="F826" s="54"/>
    </row>
    <row r="827">
      <c r="A827" s="67">
        <v>31717.0</v>
      </c>
      <c r="B827" s="68">
        <v>6.9</v>
      </c>
      <c r="C827" s="54"/>
      <c r="D827" s="54"/>
      <c r="E827" s="54"/>
      <c r="F827" s="54"/>
    </row>
    <row r="828">
      <c r="A828" s="67">
        <v>31747.0</v>
      </c>
      <c r="B828" s="68">
        <v>6.6</v>
      </c>
      <c r="C828" s="54"/>
      <c r="D828" s="54"/>
      <c r="E828" s="54"/>
      <c r="F828" s="54"/>
    </row>
    <row r="829">
      <c r="A829" s="67">
        <v>31778.0</v>
      </c>
      <c r="B829" s="68">
        <v>6.6</v>
      </c>
      <c r="C829" s="54"/>
      <c r="D829" s="54"/>
      <c r="E829" s="54"/>
      <c r="F829" s="54"/>
    </row>
    <row r="830">
      <c r="A830" s="67">
        <v>31809.0</v>
      </c>
      <c r="B830" s="68">
        <v>6.6</v>
      </c>
      <c r="C830" s="54"/>
      <c r="D830" s="54"/>
      <c r="E830" s="54"/>
      <c r="F830" s="54"/>
    </row>
    <row r="831">
      <c r="A831" s="67">
        <v>31837.0</v>
      </c>
      <c r="B831" s="68">
        <v>6.6</v>
      </c>
      <c r="C831" s="54"/>
      <c r="D831" s="54"/>
      <c r="E831" s="54"/>
      <c r="F831" s="54"/>
    </row>
    <row r="832">
      <c r="A832" s="67">
        <v>31868.0</v>
      </c>
      <c r="B832" s="68">
        <v>6.3</v>
      </c>
      <c r="C832" s="54"/>
      <c r="D832" s="54"/>
      <c r="E832" s="54"/>
      <c r="F832" s="54"/>
    </row>
    <row r="833">
      <c r="A833" s="67">
        <v>31898.0</v>
      </c>
      <c r="B833" s="68">
        <v>6.3</v>
      </c>
      <c r="C833" s="54"/>
      <c r="D833" s="54"/>
      <c r="E833" s="54"/>
      <c r="F833" s="54"/>
    </row>
    <row r="834">
      <c r="A834" s="67">
        <v>31929.0</v>
      </c>
      <c r="B834" s="68">
        <v>6.2</v>
      </c>
      <c r="C834" s="54"/>
      <c r="D834" s="54"/>
      <c r="E834" s="54"/>
      <c r="F834" s="54"/>
    </row>
    <row r="835">
      <c r="A835" s="67">
        <v>31959.0</v>
      </c>
      <c r="B835" s="68">
        <v>6.1</v>
      </c>
      <c r="C835" s="54"/>
      <c r="D835" s="54"/>
      <c r="E835" s="54"/>
      <c r="F835" s="54"/>
    </row>
    <row r="836">
      <c r="A836" s="67">
        <v>31990.0</v>
      </c>
      <c r="B836" s="68">
        <v>6.0</v>
      </c>
      <c r="C836" s="54"/>
      <c r="D836" s="54"/>
      <c r="E836" s="54"/>
      <c r="F836" s="54"/>
    </row>
    <row r="837">
      <c r="A837" s="67">
        <v>32021.0</v>
      </c>
      <c r="B837" s="68">
        <v>5.9</v>
      </c>
      <c r="C837" s="54"/>
      <c r="D837" s="54"/>
      <c r="E837" s="54"/>
      <c r="F837" s="54"/>
    </row>
    <row r="838">
      <c r="A838" s="67">
        <v>32051.0</v>
      </c>
      <c r="B838" s="68">
        <v>6.0</v>
      </c>
      <c r="C838" s="54"/>
      <c r="D838" s="54"/>
      <c r="E838" s="54"/>
      <c r="F838" s="54"/>
    </row>
    <row r="839">
      <c r="A839" s="67">
        <v>32082.0</v>
      </c>
      <c r="B839" s="68">
        <v>5.8</v>
      </c>
      <c r="C839" s="54"/>
      <c r="D839" s="54"/>
      <c r="E839" s="54"/>
      <c r="F839" s="54"/>
    </row>
    <row r="840">
      <c r="A840" s="67">
        <v>32112.0</v>
      </c>
      <c r="B840" s="68">
        <v>5.7</v>
      </c>
      <c r="C840" s="54"/>
      <c r="D840" s="54"/>
      <c r="E840" s="54"/>
      <c r="F840" s="54"/>
    </row>
    <row r="841">
      <c r="A841" s="67">
        <v>32143.0</v>
      </c>
      <c r="B841" s="68">
        <v>5.7</v>
      </c>
      <c r="C841" s="54"/>
      <c r="D841" s="54"/>
      <c r="E841" s="54"/>
      <c r="F841" s="54"/>
    </row>
    <row r="842">
      <c r="A842" s="67">
        <v>32174.0</v>
      </c>
      <c r="B842" s="68">
        <v>5.7</v>
      </c>
      <c r="C842" s="54"/>
      <c r="D842" s="54"/>
      <c r="E842" s="54"/>
      <c r="F842" s="54"/>
    </row>
    <row r="843">
      <c r="A843" s="67">
        <v>32203.0</v>
      </c>
      <c r="B843" s="68">
        <v>5.7</v>
      </c>
      <c r="C843" s="54"/>
      <c r="D843" s="54"/>
      <c r="E843" s="54"/>
      <c r="F843" s="54"/>
    </row>
    <row r="844">
      <c r="A844" s="67">
        <v>32234.0</v>
      </c>
      <c r="B844" s="68">
        <v>5.4</v>
      </c>
      <c r="C844" s="54"/>
      <c r="D844" s="54"/>
      <c r="E844" s="54"/>
      <c r="F844" s="54"/>
    </row>
    <row r="845">
      <c r="A845" s="67">
        <v>32264.0</v>
      </c>
      <c r="B845" s="68">
        <v>5.6</v>
      </c>
      <c r="C845" s="54"/>
      <c r="D845" s="54"/>
      <c r="E845" s="54"/>
      <c r="F845" s="54"/>
    </row>
    <row r="846">
      <c r="A846" s="67">
        <v>32295.0</v>
      </c>
      <c r="B846" s="68">
        <v>5.4</v>
      </c>
      <c r="C846" s="54"/>
      <c r="D846" s="54"/>
      <c r="E846" s="54"/>
      <c r="F846" s="54"/>
    </row>
    <row r="847">
      <c r="A847" s="67">
        <v>32325.0</v>
      </c>
      <c r="B847" s="68">
        <v>5.4</v>
      </c>
      <c r="C847" s="54"/>
      <c r="D847" s="54"/>
      <c r="E847" s="54"/>
      <c r="F847" s="54"/>
    </row>
    <row r="848">
      <c r="A848" s="67">
        <v>32356.0</v>
      </c>
      <c r="B848" s="68">
        <v>5.6</v>
      </c>
      <c r="C848" s="54"/>
      <c r="D848" s="54"/>
      <c r="E848" s="54"/>
      <c r="F848" s="54"/>
    </row>
    <row r="849">
      <c r="A849" s="67">
        <v>32387.0</v>
      </c>
      <c r="B849" s="68">
        <v>5.4</v>
      </c>
      <c r="C849" s="54"/>
      <c r="D849" s="54"/>
      <c r="E849" s="54"/>
      <c r="F849" s="54"/>
    </row>
    <row r="850">
      <c r="A850" s="67">
        <v>32417.0</v>
      </c>
      <c r="B850" s="68">
        <v>5.4</v>
      </c>
      <c r="C850" s="54"/>
      <c r="D850" s="54"/>
      <c r="E850" s="54"/>
      <c r="F850" s="54"/>
    </row>
    <row r="851">
      <c r="A851" s="67">
        <v>32448.0</v>
      </c>
      <c r="B851" s="68">
        <v>5.3</v>
      </c>
      <c r="C851" s="54"/>
      <c r="D851" s="54"/>
      <c r="E851" s="54"/>
      <c r="F851" s="54"/>
    </row>
    <row r="852">
      <c r="A852" s="67">
        <v>32478.0</v>
      </c>
      <c r="B852" s="68">
        <v>5.3</v>
      </c>
      <c r="C852" s="54"/>
      <c r="D852" s="54"/>
      <c r="E852" s="54"/>
      <c r="F852" s="54"/>
    </row>
    <row r="853">
      <c r="A853" s="67">
        <v>32509.0</v>
      </c>
      <c r="B853" s="68">
        <v>5.4</v>
      </c>
      <c r="C853" s="54"/>
      <c r="D853" s="54"/>
      <c r="E853" s="54"/>
      <c r="F853" s="54"/>
    </row>
    <row r="854">
      <c r="A854" s="67">
        <v>32540.0</v>
      </c>
      <c r="B854" s="68">
        <v>5.2</v>
      </c>
      <c r="C854" s="54"/>
      <c r="D854" s="54"/>
      <c r="E854" s="54"/>
      <c r="F854" s="54"/>
    </row>
    <row r="855">
      <c r="A855" s="67">
        <v>32568.0</v>
      </c>
      <c r="B855" s="68">
        <v>5.0</v>
      </c>
      <c r="C855" s="54"/>
      <c r="D855" s="54"/>
      <c r="E855" s="54"/>
      <c r="F855" s="54"/>
    </row>
    <row r="856">
      <c r="A856" s="67">
        <v>32599.0</v>
      </c>
      <c r="B856" s="68">
        <v>5.2</v>
      </c>
      <c r="C856" s="54"/>
      <c r="D856" s="54"/>
      <c r="E856" s="54"/>
      <c r="F856" s="54"/>
    </row>
    <row r="857">
      <c r="A857" s="67">
        <v>32629.0</v>
      </c>
      <c r="B857" s="68">
        <v>5.2</v>
      </c>
      <c r="C857" s="54"/>
      <c r="D857" s="54"/>
      <c r="E857" s="54"/>
      <c r="F857" s="54"/>
    </row>
    <row r="858">
      <c r="A858" s="67">
        <v>32660.0</v>
      </c>
      <c r="B858" s="68">
        <v>5.3</v>
      </c>
      <c r="C858" s="54"/>
      <c r="D858" s="54"/>
      <c r="E858" s="54"/>
      <c r="F858" s="54"/>
    </row>
    <row r="859">
      <c r="A859" s="67">
        <v>32690.0</v>
      </c>
      <c r="B859" s="68">
        <v>5.2</v>
      </c>
      <c r="C859" s="54"/>
      <c r="D859" s="54"/>
      <c r="E859" s="54"/>
      <c r="F859" s="54"/>
    </row>
    <row r="860">
      <c r="A860" s="67">
        <v>32721.0</v>
      </c>
      <c r="B860" s="68">
        <v>5.2</v>
      </c>
      <c r="C860" s="54"/>
      <c r="D860" s="54"/>
      <c r="E860" s="54"/>
      <c r="F860" s="54"/>
    </row>
    <row r="861">
      <c r="A861" s="67">
        <v>32752.0</v>
      </c>
      <c r="B861" s="68">
        <v>5.3</v>
      </c>
      <c r="C861" s="54"/>
      <c r="D861" s="54"/>
      <c r="E861" s="54"/>
      <c r="F861" s="54"/>
    </row>
    <row r="862">
      <c r="A862" s="67">
        <v>32782.0</v>
      </c>
      <c r="B862" s="68">
        <v>5.3</v>
      </c>
      <c r="C862" s="54"/>
      <c r="D862" s="54"/>
      <c r="E862" s="54"/>
      <c r="F862" s="54"/>
    </row>
    <row r="863">
      <c r="A863" s="67">
        <v>32813.0</v>
      </c>
      <c r="B863" s="68">
        <v>5.4</v>
      </c>
      <c r="C863" s="54"/>
      <c r="D863" s="54"/>
      <c r="E863" s="54"/>
      <c r="F863" s="54"/>
    </row>
    <row r="864">
      <c r="A864" s="67">
        <v>32843.0</v>
      </c>
      <c r="B864" s="68">
        <v>5.4</v>
      </c>
      <c r="C864" s="54"/>
      <c r="D864" s="54"/>
      <c r="E864" s="54"/>
      <c r="F864" s="54"/>
    </row>
    <row r="865">
      <c r="A865" s="67">
        <v>32874.0</v>
      </c>
      <c r="B865" s="68">
        <v>5.4</v>
      </c>
      <c r="C865" s="54"/>
      <c r="D865" s="54"/>
      <c r="E865" s="54"/>
      <c r="F865" s="54"/>
    </row>
    <row r="866">
      <c r="A866" s="67">
        <v>32905.0</v>
      </c>
      <c r="B866" s="68">
        <v>5.3</v>
      </c>
      <c r="C866" s="54"/>
      <c r="D866" s="54"/>
      <c r="E866" s="54"/>
      <c r="F866" s="54"/>
    </row>
    <row r="867">
      <c r="A867" s="67">
        <v>32933.0</v>
      </c>
      <c r="B867" s="68">
        <v>5.2</v>
      </c>
      <c r="C867" s="54"/>
      <c r="D867" s="54"/>
      <c r="E867" s="54"/>
      <c r="F867" s="54"/>
    </row>
    <row r="868">
      <c r="A868" s="67">
        <v>32964.0</v>
      </c>
      <c r="B868" s="68">
        <v>5.4</v>
      </c>
      <c r="C868" s="54"/>
      <c r="D868" s="54"/>
      <c r="E868" s="54"/>
      <c r="F868" s="54"/>
    </row>
    <row r="869">
      <c r="A869" s="67">
        <v>32994.0</v>
      </c>
      <c r="B869" s="68">
        <v>5.4</v>
      </c>
      <c r="C869" s="54"/>
      <c r="D869" s="54"/>
      <c r="E869" s="54"/>
      <c r="F869" s="54"/>
    </row>
    <row r="870">
      <c r="A870" s="67">
        <v>33025.0</v>
      </c>
      <c r="B870" s="68">
        <v>5.2</v>
      </c>
      <c r="C870" s="54"/>
      <c r="D870" s="54"/>
      <c r="E870" s="54"/>
      <c r="F870" s="54"/>
    </row>
    <row r="871">
      <c r="A871" s="67">
        <v>33055.0</v>
      </c>
      <c r="B871" s="68">
        <v>5.5</v>
      </c>
      <c r="C871" s="54"/>
      <c r="D871" s="54"/>
      <c r="E871" s="54"/>
      <c r="F871" s="54"/>
    </row>
    <row r="872">
      <c r="A872" s="67">
        <v>33086.0</v>
      </c>
      <c r="B872" s="68">
        <v>5.7</v>
      </c>
      <c r="C872" s="54"/>
      <c r="D872" s="54"/>
      <c r="E872" s="54"/>
      <c r="F872" s="54"/>
    </row>
    <row r="873">
      <c r="A873" s="67">
        <v>33117.0</v>
      </c>
      <c r="B873" s="68">
        <v>5.9</v>
      </c>
      <c r="C873" s="54"/>
      <c r="D873" s="54"/>
      <c r="E873" s="54"/>
      <c r="F873" s="54"/>
    </row>
    <row r="874">
      <c r="A874" s="67">
        <v>33147.0</v>
      </c>
      <c r="B874" s="68">
        <v>5.9</v>
      </c>
      <c r="C874" s="54"/>
      <c r="D874" s="54"/>
      <c r="E874" s="54"/>
      <c r="F874" s="54"/>
    </row>
    <row r="875">
      <c r="A875" s="67">
        <v>33178.0</v>
      </c>
      <c r="B875" s="68">
        <v>6.2</v>
      </c>
      <c r="C875" s="54"/>
      <c r="D875" s="54"/>
      <c r="E875" s="54"/>
      <c r="F875" s="54"/>
    </row>
    <row r="876">
      <c r="A876" s="67">
        <v>33208.0</v>
      </c>
      <c r="B876" s="68">
        <v>6.3</v>
      </c>
      <c r="C876" s="54"/>
      <c r="D876" s="54"/>
      <c r="E876" s="54"/>
      <c r="F876" s="54"/>
    </row>
    <row r="877">
      <c r="A877" s="67">
        <v>33239.0</v>
      </c>
      <c r="B877" s="68">
        <v>6.4</v>
      </c>
      <c r="C877" s="54"/>
      <c r="D877" s="54"/>
      <c r="E877" s="54"/>
      <c r="F877" s="54"/>
    </row>
    <row r="878">
      <c r="A878" s="67">
        <v>33270.0</v>
      </c>
      <c r="B878" s="68">
        <v>6.6</v>
      </c>
      <c r="C878" s="54"/>
      <c r="D878" s="54"/>
      <c r="E878" s="54"/>
      <c r="F878" s="54"/>
    </row>
    <row r="879">
      <c r="A879" s="67">
        <v>33298.0</v>
      </c>
      <c r="B879" s="68">
        <v>6.8</v>
      </c>
      <c r="C879" s="54"/>
      <c r="D879" s="54"/>
      <c r="E879" s="54"/>
      <c r="F879" s="54"/>
    </row>
    <row r="880">
      <c r="A880" s="67">
        <v>33329.0</v>
      </c>
      <c r="B880" s="68">
        <v>6.7</v>
      </c>
      <c r="C880" s="54"/>
      <c r="D880" s="54"/>
      <c r="E880" s="54"/>
      <c r="F880" s="54"/>
    </row>
    <row r="881">
      <c r="A881" s="67">
        <v>33359.0</v>
      </c>
      <c r="B881" s="68">
        <v>6.9</v>
      </c>
      <c r="C881" s="54"/>
      <c r="D881" s="54"/>
      <c r="E881" s="54"/>
      <c r="F881" s="54"/>
    </row>
    <row r="882">
      <c r="A882" s="67">
        <v>33390.0</v>
      </c>
      <c r="B882" s="68">
        <v>6.9</v>
      </c>
      <c r="C882" s="54"/>
      <c r="D882" s="54"/>
      <c r="E882" s="54"/>
      <c r="F882" s="54"/>
    </row>
    <row r="883">
      <c r="A883" s="67">
        <v>33420.0</v>
      </c>
      <c r="B883" s="68">
        <v>6.8</v>
      </c>
      <c r="C883" s="54"/>
      <c r="D883" s="54"/>
      <c r="E883" s="54"/>
      <c r="F883" s="54"/>
    </row>
    <row r="884">
      <c r="A884" s="67">
        <v>33451.0</v>
      </c>
      <c r="B884" s="68">
        <v>6.9</v>
      </c>
      <c r="C884" s="54"/>
      <c r="D884" s="54"/>
      <c r="E884" s="54"/>
      <c r="F884" s="54"/>
    </row>
    <row r="885">
      <c r="A885" s="67">
        <v>33482.0</v>
      </c>
      <c r="B885" s="68">
        <v>6.9</v>
      </c>
      <c r="C885" s="54"/>
      <c r="D885" s="54"/>
      <c r="E885" s="54"/>
      <c r="F885" s="54"/>
    </row>
    <row r="886">
      <c r="A886" s="67">
        <v>33512.0</v>
      </c>
      <c r="B886" s="68">
        <v>7.0</v>
      </c>
      <c r="C886" s="54"/>
      <c r="D886" s="54"/>
      <c r="E886" s="54"/>
      <c r="F886" s="54"/>
    </row>
    <row r="887">
      <c r="A887" s="67">
        <v>33543.0</v>
      </c>
      <c r="B887" s="68">
        <v>7.0</v>
      </c>
      <c r="C887" s="54"/>
      <c r="D887" s="54"/>
      <c r="E887" s="54"/>
      <c r="F887" s="54"/>
    </row>
    <row r="888">
      <c r="A888" s="67">
        <v>33573.0</v>
      </c>
      <c r="B888" s="68">
        <v>7.3</v>
      </c>
      <c r="C888" s="54"/>
      <c r="D888" s="54"/>
      <c r="E888" s="54"/>
      <c r="F888" s="54"/>
    </row>
    <row r="889">
      <c r="A889" s="67">
        <v>33604.0</v>
      </c>
      <c r="B889" s="68">
        <v>7.3</v>
      </c>
      <c r="C889" s="54"/>
      <c r="D889" s="54"/>
      <c r="E889" s="54"/>
      <c r="F889" s="54"/>
    </row>
    <row r="890">
      <c r="A890" s="67">
        <v>33635.0</v>
      </c>
      <c r="B890" s="68">
        <v>7.4</v>
      </c>
      <c r="C890" s="54"/>
      <c r="D890" s="54"/>
      <c r="E890" s="54"/>
      <c r="F890" s="54"/>
    </row>
    <row r="891">
      <c r="A891" s="67">
        <v>33664.0</v>
      </c>
      <c r="B891" s="68">
        <v>7.4</v>
      </c>
      <c r="C891" s="54"/>
      <c r="D891" s="54"/>
      <c r="E891" s="54"/>
      <c r="F891" s="54"/>
    </row>
    <row r="892">
      <c r="A892" s="67">
        <v>33695.0</v>
      </c>
      <c r="B892" s="68">
        <v>7.4</v>
      </c>
      <c r="C892" s="54"/>
      <c r="D892" s="54"/>
      <c r="E892" s="54"/>
      <c r="F892" s="54"/>
    </row>
    <row r="893">
      <c r="A893" s="67">
        <v>33725.0</v>
      </c>
      <c r="B893" s="68">
        <v>7.6</v>
      </c>
      <c r="C893" s="54"/>
      <c r="D893" s="54"/>
      <c r="E893" s="54"/>
      <c r="F893" s="54"/>
    </row>
    <row r="894">
      <c r="A894" s="67">
        <v>33756.0</v>
      </c>
      <c r="B894" s="68">
        <v>7.8</v>
      </c>
      <c r="C894" s="54"/>
      <c r="D894" s="54"/>
      <c r="E894" s="54"/>
      <c r="F894" s="54"/>
    </row>
    <row r="895">
      <c r="A895" s="67">
        <v>33786.0</v>
      </c>
      <c r="B895" s="68">
        <v>7.7</v>
      </c>
      <c r="C895" s="54"/>
      <c r="D895" s="54"/>
      <c r="E895" s="54"/>
      <c r="F895" s="54"/>
    </row>
    <row r="896">
      <c r="A896" s="67">
        <v>33817.0</v>
      </c>
      <c r="B896" s="68">
        <v>7.6</v>
      </c>
      <c r="C896" s="54"/>
      <c r="D896" s="54"/>
      <c r="E896" s="54"/>
      <c r="F896" s="54"/>
    </row>
    <row r="897">
      <c r="A897" s="67">
        <v>33848.0</v>
      </c>
      <c r="B897" s="68">
        <v>7.6</v>
      </c>
      <c r="C897" s="54"/>
      <c r="D897" s="54"/>
      <c r="E897" s="54"/>
      <c r="F897" s="54"/>
    </row>
    <row r="898">
      <c r="A898" s="67">
        <v>33878.0</v>
      </c>
      <c r="B898" s="68">
        <v>7.3</v>
      </c>
      <c r="C898" s="54"/>
      <c r="D898" s="54"/>
      <c r="E898" s="54"/>
      <c r="F898" s="54"/>
    </row>
    <row r="899">
      <c r="A899" s="67">
        <v>33909.0</v>
      </c>
      <c r="B899" s="68">
        <v>7.4</v>
      </c>
      <c r="C899" s="54"/>
      <c r="D899" s="54"/>
      <c r="E899" s="54"/>
      <c r="F899" s="54"/>
    </row>
    <row r="900">
      <c r="A900" s="67">
        <v>33939.0</v>
      </c>
      <c r="B900" s="68">
        <v>7.4</v>
      </c>
      <c r="C900" s="54"/>
      <c r="D900" s="54"/>
      <c r="E900" s="54"/>
      <c r="F900" s="54"/>
    </row>
    <row r="901">
      <c r="A901" s="67">
        <v>33970.0</v>
      </c>
      <c r="B901" s="68">
        <v>7.3</v>
      </c>
      <c r="C901" s="54"/>
      <c r="D901" s="54"/>
      <c r="E901" s="54"/>
      <c r="F901" s="54"/>
    </row>
    <row r="902">
      <c r="A902" s="67">
        <v>34001.0</v>
      </c>
      <c r="B902" s="68">
        <v>7.1</v>
      </c>
      <c r="C902" s="54"/>
      <c r="D902" s="54"/>
      <c r="E902" s="54"/>
      <c r="F902" s="54"/>
    </row>
    <row r="903">
      <c r="A903" s="67">
        <v>34029.0</v>
      </c>
      <c r="B903" s="68">
        <v>7.0</v>
      </c>
      <c r="C903" s="54"/>
      <c r="D903" s="54"/>
      <c r="E903" s="54"/>
      <c r="F903" s="54"/>
    </row>
    <row r="904">
      <c r="A904" s="67">
        <v>34060.0</v>
      </c>
      <c r="B904" s="68">
        <v>7.1</v>
      </c>
      <c r="C904" s="54"/>
      <c r="D904" s="54"/>
      <c r="E904" s="54"/>
      <c r="F904" s="54"/>
    </row>
    <row r="905">
      <c r="A905" s="67">
        <v>34090.0</v>
      </c>
      <c r="B905" s="68">
        <v>7.1</v>
      </c>
      <c r="C905" s="54"/>
      <c r="D905" s="54"/>
      <c r="E905" s="54"/>
      <c r="F905" s="54"/>
    </row>
    <row r="906">
      <c r="A906" s="67">
        <v>34121.0</v>
      </c>
      <c r="B906" s="68">
        <v>7.0</v>
      </c>
      <c r="C906" s="54"/>
      <c r="D906" s="54"/>
      <c r="E906" s="54"/>
      <c r="F906" s="54"/>
    </row>
    <row r="907">
      <c r="A907" s="67">
        <v>34151.0</v>
      </c>
      <c r="B907" s="68">
        <v>6.9</v>
      </c>
      <c r="C907" s="54"/>
      <c r="D907" s="54"/>
      <c r="E907" s="54"/>
      <c r="F907" s="54"/>
    </row>
    <row r="908">
      <c r="A908" s="67">
        <v>34182.0</v>
      </c>
      <c r="B908" s="68">
        <v>6.8</v>
      </c>
      <c r="C908" s="54"/>
      <c r="D908" s="54"/>
      <c r="E908" s="54"/>
      <c r="F908" s="54"/>
    </row>
    <row r="909">
      <c r="A909" s="67">
        <v>34213.0</v>
      </c>
      <c r="B909" s="68">
        <v>6.7</v>
      </c>
      <c r="C909" s="54"/>
      <c r="D909" s="54"/>
      <c r="E909" s="54"/>
      <c r="F909" s="54"/>
    </row>
    <row r="910">
      <c r="A910" s="67">
        <v>34243.0</v>
      </c>
      <c r="B910" s="68">
        <v>6.8</v>
      </c>
      <c r="C910" s="54"/>
      <c r="D910" s="54"/>
      <c r="E910" s="54"/>
      <c r="F910" s="54"/>
    </row>
    <row r="911">
      <c r="A911" s="67">
        <v>34274.0</v>
      </c>
      <c r="B911" s="68">
        <v>6.6</v>
      </c>
      <c r="C911" s="54"/>
      <c r="D911" s="54"/>
      <c r="E911" s="54"/>
      <c r="F911" s="54"/>
    </row>
    <row r="912">
      <c r="A912" s="67">
        <v>34304.0</v>
      </c>
      <c r="B912" s="68">
        <v>6.5</v>
      </c>
      <c r="C912" s="54"/>
      <c r="D912" s="54"/>
      <c r="E912" s="54"/>
      <c r="F912" s="54"/>
    </row>
    <row r="913">
      <c r="A913" s="67">
        <v>34335.0</v>
      </c>
      <c r="B913" s="68">
        <v>6.6</v>
      </c>
      <c r="C913" s="54"/>
      <c r="D913" s="54"/>
      <c r="E913" s="54"/>
      <c r="F913" s="54"/>
    </row>
    <row r="914">
      <c r="A914" s="67">
        <v>34366.0</v>
      </c>
      <c r="B914" s="68">
        <v>6.6</v>
      </c>
      <c r="C914" s="54"/>
      <c r="D914" s="54"/>
      <c r="E914" s="54"/>
      <c r="F914" s="54"/>
    </row>
    <row r="915">
      <c r="A915" s="67">
        <v>34394.0</v>
      </c>
      <c r="B915" s="68">
        <v>6.5</v>
      </c>
      <c r="C915" s="54"/>
      <c r="D915" s="54"/>
      <c r="E915" s="54"/>
      <c r="F915" s="54"/>
    </row>
    <row r="916">
      <c r="A916" s="67">
        <v>34425.0</v>
      </c>
      <c r="B916" s="68">
        <v>6.4</v>
      </c>
      <c r="C916" s="54"/>
      <c r="D916" s="54"/>
      <c r="E916" s="54"/>
      <c r="F916" s="54"/>
    </row>
    <row r="917">
      <c r="A917" s="67">
        <v>34455.0</v>
      </c>
      <c r="B917" s="68">
        <v>6.1</v>
      </c>
      <c r="C917" s="54"/>
      <c r="D917" s="54"/>
      <c r="E917" s="54"/>
      <c r="F917" s="54"/>
    </row>
    <row r="918">
      <c r="A918" s="67">
        <v>34486.0</v>
      </c>
      <c r="B918" s="68">
        <v>6.1</v>
      </c>
      <c r="C918" s="54"/>
      <c r="D918" s="54"/>
      <c r="E918" s="54"/>
      <c r="F918" s="54"/>
    </row>
    <row r="919">
      <c r="A919" s="67">
        <v>34516.0</v>
      </c>
      <c r="B919" s="68">
        <v>6.1</v>
      </c>
      <c r="C919" s="54"/>
      <c r="D919" s="54"/>
      <c r="E919" s="54"/>
      <c r="F919" s="54"/>
    </row>
    <row r="920">
      <c r="A920" s="67">
        <v>34547.0</v>
      </c>
      <c r="B920" s="68">
        <v>6.0</v>
      </c>
      <c r="C920" s="54"/>
      <c r="D920" s="54"/>
      <c r="E920" s="54"/>
      <c r="F920" s="54"/>
    </row>
    <row r="921">
      <c r="A921" s="67">
        <v>34578.0</v>
      </c>
      <c r="B921" s="68">
        <v>5.9</v>
      </c>
      <c r="C921" s="54"/>
      <c r="D921" s="54"/>
      <c r="E921" s="54"/>
      <c r="F921" s="54"/>
    </row>
    <row r="922">
      <c r="A922" s="67">
        <v>34608.0</v>
      </c>
      <c r="B922" s="68">
        <v>5.8</v>
      </c>
      <c r="C922" s="54"/>
      <c r="D922" s="54"/>
      <c r="E922" s="54"/>
      <c r="F922" s="54"/>
    </row>
    <row r="923">
      <c r="A923" s="67">
        <v>34639.0</v>
      </c>
      <c r="B923" s="68">
        <v>5.6</v>
      </c>
      <c r="C923" s="54"/>
      <c r="D923" s="54"/>
      <c r="E923" s="54"/>
      <c r="F923" s="54"/>
    </row>
    <row r="924">
      <c r="A924" s="67">
        <v>34669.0</v>
      </c>
      <c r="B924" s="68">
        <v>5.5</v>
      </c>
      <c r="C924" s="54"/>
      <c r="D924" s="54"/>
      <c r="E924" s="54"/>
      <c r="F924" s="54"/>
    </row>
    <row r="925">
      <c r="A925" s="67">
        <v>34700.0</v>
      </c>
      <c r="B925" s="68">
        <v>5.6</v>
      </c>
      <c r="C925" s="54"/>
      <c r="D925" s="54"/>
      <c r="E925" s="54"/>
      <c r="F925" s="54"/>
    </row>
    <row r="926">
      <c r="A926" s="67">
        <v>34731.0</v>
      </c>
      <c r="B926" s="68">
        <v>5.4</v>
      </c>
      <c r="C926" s="54"/>
      <c r="D926" s="54"/>
      <c r="E926" s="54"/>
      <c r="F926" s="54"/>
    </row>
    <row r="927">
      <c r="A927" s="67">
        <v>34759.0</v>
      </c>
      <c r="B927" s="68">
        <v>5.4</v>
      </c>
      <c r="C927" s="54"/>
      <c r="D927" s="54"/>
      <c r="E927" s="54"/>
      <c r="F927" s="54"/>
    </row>
    <row r="928">
      <c r="A928" s="67">
        <v>34790.0</v>
      </c>
      <c r="B928" s="68">
        <v>5.8</v>
      </c>
      <c r="C928" s="54"/>
      <c r="D928" s="54"/>
      <c r="E928" s="54"/>
      <c r="F928" s="54"/>
    </row>
    <row r="929">
      <c r="A929" s="67">
        <v>34820.0</v>
      </c>
      <c r="B929" s="68">
        <v>5.6</v>
      </c>
      <c r="C929" s="54"/>
      <c r="D929" s="54"/>
      <c r="E929" s="54"/>
      <c r="F929" s="54"/>
    </row>
    <row r="930">
      <c r="A930" s="67">
        <v>34851.0</v>
      </c>
      <c r="B930" s="68">
        <v>5.6</v>
      </c>
      <c r="C930" s="54"/>
      <c r="D930" s="54"/>
      <c r="E930" s="54"/>
      <c r="F930" s="54"/>
    </row>
    <row r="931">
      <c r="A931" s="67">
        <v>34881.0</v>
      </c>
      <c r="B931" s="68">
        <v>5.7</v>
      </c>
      <c r="C931" s="54"/>
      <c r="D931" s="54"/>
      <c r="E931" s="54"/>
      <c r="F931" s="54"/>
    </row>
    <row r="932">
      <c r="A932" s="67">
        <v>34912.0</v>
      </c>
      <c r="B932" s="68">
        <v>5.7</v>
      </c>
      <c r="C932" s="54"/>
      <c r="D932" s="54"/>
      <c r="E932" s="54"/>
      <c r="F932" s="54"/>
    </row>
    <row r="933">
      <c r="A933" s="67">
        <v>34943.0</v>
      </c>
      <c r="B933" s="68">
        <v>5.6</v>
      </c>
      <c r="C933" s="54"/>
      <c r="D933" s="54"/>
      <c r="E933" s="54"/>
      <c r="F933" s="54"/>
    </row>
    <row r="934">
      <c r="A934" s="67">
        <v>34973.0</v>
      </c>
      <c r="B934" s="68">
        <v>5.5</v>
      </c>
      <c r="C934" s="54"/>
      <c r="D934" s="54"/>
      <c r="E934" s="54"/>
      <c r="F934" s="54"/>
    </row>
    <row r="935">
      <c r="A935" s="67">
        <v>35004.0</v>
      </c>
      <c r="B935" s="68">
        <v>5.6</v>
      </c>
      <c r="C935" s="54"/>
      <c r="D935" s="54"/>
      <c r="E935" s="54"/>
      <c r="F935" s="54"/>
    </row>
    <row r="936">
      <c r="A936" s="67">
        <v>35034.0</v>
      </c>
      <c r="B936" s="68">
        <v>5.6</v>
      </c>
      <c r="C936" s="54"/>
      <c r="D936" s="54"/>
      <c r="E936" s="54"/>
      <c r="F936" s="54"/>
    </row>
    <row r="937">
      <c r="A937" s="67">
        <v>35065.0</v>
      </c>
      <c r="B937" s="68">
        <v>5.6</v>
      </c>
      <c r="C937" s="54"/>
      <c r="D937" s="54"/>
      <c r="E937" s="54"/>
      <c r="F937" s="54"/>
    </row>
    <row r="938">
      <c r="A938" s="67">
        <v>35096.0</v>
      </c>
      <c r="B938" s="68">
        <v>5.5</v>
      </c>
      <c r="C938" s="54"/>
      <c r="D938" s="54"/>
      <c r="E938" s="54"/>
      <c r="F938" s="54"/>
    </row>
    <row r="939">
      <c r="A939" s="67">
        <v>35125.0</v>
      </c>
      <c r="B939" s="68">
        <v>5.5</v>
      </c>
      <c r="C939" s="54"/>
      <c r="D939" s="54"/>
      <c r="E939" s="54"/>
      <c r="F939" s="54"/>
    </row>
    <row r="940">
      <c r="A940" s="67">
        <v>35156.0</v>
      </c>
      <c r="B940" s="68">
        <v>5.6</v>
      </c>
      <c r="C940" s="54"/>
      <c r="D940" s="54"/>
      <c r="E940" s="54"/>
      <c r="F940" s="54"/>
    </row>
    <row r="941">
      <c r="A941" s="67">
        <v>35186.0</v>
      </c>
      <c r="B941" s="68">
        <v>5.6</v>
      </c>
      <c r="C941" s="54"/>
      <c r="D941" s="54"/>
      <c r="E941" s="54"/>
      <c r="F941" s="54"/>
    </row>
    <row r="942">
      <c r="A942" s="67">
        <v>35217.0</v>
      </c>
      <c r="B942" s="68">
        <v>5.3</v>
      </c>
      <c r="C942" s="54"/>
      <c r="D942" s="54"/>
      <c r="E942" s="54"/>
      <c r="F942" s="54"/>
    </row>
    <row r="943">
      <c r="A943" s="67">
        <v>35247.0</v>
      </c>
      <c r="B943" s="68">
        <v>5.5</v>
      </c>
      <c r="C943" s="54"/>
      <c r="D943" s="54"/>
      <c r="E943" s="54"/>
      <c r="F943" s="54"/>
    </row>
    <row r="944">
      <c r="A944" s="67">
        <v>35278.0</v>
      </c>
      <c r="B944" s="68">
        <v>5.1</v>
      </c>
      <c r="C944" s="54"/>
      <c r="D944" s="54"/>
      <c r="E944" s="54"/>
      <c r="F944" s="54"/>
    </row>
    <row r="945">
      <c r="A945" s="67">
        <v>35309.0</v>
      </c>
      <c r="B945" s="68">
        <v>5.2</v>
      </c>
      <c r="C945" s="54"/>
      <c r="D945" s="54"/>
      <c r="E945" s="54"/>
      <c r="F945" s="54"/>
    </row>
    <row r="946">
      <c r="A946" s="67">
        <v>35339.0</v>
      </c>
      <c r="B946" s="68">
        <v>5.2</v>
      </c>
      <c r="C946" s="54"/>
      <c r="D946" s="54"/>
      <c r="E946" s="54"/>
      <c r="F946" s="54"/>
    </row>
    <row r="947">
      <c r="A947" s="67">
        <v>35370.0</v>
      </c>
      <c r="B947" s="68">
        <v>5.4</v>
      </c>
      <c r="C947" s="54"/>
      <c r="D947" s="54"/>
      <c r="E947" s="54"/>
      <c r="F947" s="54"/>
    </row>
    <row r="948">
      <c r="A948" s="67">
        <v>35400.0</v>
      </c>
      <c r="B948" s="68">
        <v>5.4</v>
      </c>
      <c r="C948" s="54"/>
      <c r="D948" s="54"/>
      <c r="E948" s="54"/>
      <c r="F948" s="54"/>
    </row>
    <row r="949">
      <c r="A949" s="67">
        <v>35431.0</v>
      </c>
      <c r="B949" s="68">
        <v>5.3</v>
      </c>
      <c r="C949" s="54"/>
      <c r="D949" s="54"/>
      <c r="E949" s="54"/>
      <c r="F949" s="54"/>
    </row>
    <row r="950">
      <c r="A950" s="67">
        <v>35462.0</v>
      </c>
      <c r="B950" s="68">
        <v>5.2</v>
      </c>
      <c r="C950" s="54"/>
      <c r="D950" s="54"/>
      <c r="E950" s="54"/>
      <c r="F950" s="54"/>
    </row>
    <row r="951">
      <c r="A951" s="67">
        <v>35490.0</v>
      </c>
      <c r="B951" s="68">
        <v>5.2</v>
      </c>
      <c r="C951" s="54"/>
      <c r="D951" s="54"/>
      <c r="E951" s="54"/>
      <c r="F951" s="54"/>
    </row>
    <row r="952">
      <c r="A952" s="67">
        <v>35521.0</v>
      </c>
      <c r="B952" s="68">
        <v>5.1</v>
      </c>
      <c r="C952" s="54"/>
      <c r="D952" s="54"/>
      <c r="E952" s="54"/>
      <c r="F952" s="54"/>
    </row>
    <row r="953">
      <c r="A953" s="67">
        <v>35551.0</v>
      </c>
      <c r="B953" s="68">
        <v>4.9</v>
      </c>
      <c r="C953" s="54"/>
      <c r="D953" s="54"/>
      <c r="E953" s="54"/>
      <c r="F953" s="54"/>
    </row>
    <row r="954">
      <c r="A954" s="67">
        <v>35582.0</v>
      </c>
      <c r="B954" s="68">
        <v>5.0</v>
      </c>
      <c r="C954" s="54"/>
      <c r="D954" s="54"/>
      <c r="E954" s="54"/>
      <c r="F954" s="54"/>
    </row>
    <row r="955">
      <c r="A955" s="67">
        <v>35612.0</v>
      </c>
      <c r="B955" s="68">
        <v>4.9</v>
      </c>
      <c r="C955" s="54"/>
      <c r="D955" s="54"/>
      <c r="E955" s="54"/>
      <c r="F955" s="54"/>
    </row>
    <row r="956">
      <c r="A956" s="67">
        <v>35643.0</v>
      </c>
      <c r="B956" s="68">
        <v>4.8</v>
      </c>
      <c r="C956" s="54"/>
      <c r="D956" s="54"/>
      <c r="E956" s="54"/>
      <c r="F956" s="54"/>
    </row>
    <row r="957">
      <c r="A957" s="67">
        <v>35674.0</v>
      </c>
      <c r="B957" s="68">
        <v>4.9</v>
      </c>
      <c r="C957" s="54"/>
      <c r="D957" s="54"/>
      <c r="E957" s="54"/>
      <c r="F957" s="54"/>
    </row>
    <row r="958">
      <c r="A958" s="67">
        <v>35704.0</v>
      </c>
      <c r="B958" s="68">
        <v>4.7</v>
      </c>
      <c r="C958" s="54"/>
      <c r="D958" s="54"/>
      <c r="E958" s="54"/>
      <c r="F958" s="54"/>
    </row>
    <row r="959">
      <c r="A959" s="67">
        <v>35735.0</v>
      </c>
      <c r="B959" s="68">
        <v>4.6</v>
      </c>
      <c r="C959" s="54"/>
      <c r="D959" s="54"/>
      <c r="E959" s="54"/>
      <c r="F959" s="54"/>
    </row>
    <row r="960">
      <c r="A960" s="67">
        <v>35765.0</v>
      </c>
      <c r="B960" s="68">
        <v>4.7</v>
      </c>
      <c r="C960" s="54"/>
      <c r="D960" s="54"/>
      <c r="E960" s="54"/>
      <c r="F960" s="54"/>
    </row>
    <row r="961">
      <c r="A961" s="67">
        <v>35796.0</v>
      </c>
      <c r="B961" s="68">
        <v>4.6</v>
      </c>
      <c r="C961" s="54"/>
      <c r="D961" s="54"/>
      <c r="E961" s="54"/>
      <c r="F961" s="54"/>
    </row>
    <row r="962">
      <c r="A962" s="67">
        <v>35827.0</v>
      </c>
      <c r="B962" s="68">
        <v>4.6</v>
      </c>
      <c r="C962" s="54"/>
      <c r="D962" s="54"/>
      <c r="E962" s="54"/>
      <c r="F962" s="54"/>
    </row>
    <row r="963">
      <c r="A963" s="67">
        <v>35855.0</v>
      </c>
      <c r="B963" s="68">
        <v>4.7</v>
      </c>
      <c r="C963" s="54"/>
      <c r="D963" s="54"/>
      <c r="E963" s="54"/>
      <c r="F963" s="54"/>
    </row>
    <row r="964">
      <c r="A964" s="67">
        <v>35886.0</v>
      </c>
      <c r="B964" s="68">
        <v>4.3</v>
      </c>
      <c r="C964" s="54"/>
      <c r="D964" s="54"/>
      <c r="E964" s="54"/>
      <c r="F964" s="54"/>
    </row>
    <row r="965">
      <c r="A965" s="67">
        <v>35916.0</v>
      </c>
      <c r="B965" s="68">
        <v>4.4</v>
      </c>
      <c r="C965" s="54"/>
      <c r="D965" s="54"/>
      <c r="E965" s="54"/>
      <c r="F965" s="54"/>
    </row>
    <row r="966">
      <c r="A966" s="67">
        <v>35947.0</v>
      </c>
      <c r="B966" s="68">
        <v>4.5</v>
      </c>
      <c r="C966" s="54"/>
      <c r="D966" s="54"/>
      <c r="E966" s="54"/>
      <c r="F966" s="54"/>
    </row>
    <row r="967">
      <c r="A967" s="67">
        <v>35977.0</v>
      </c>
      <c r="B967" s="68">
        <v>4.5</v>
      </c>
      <c r="C967" s="54"/>
      <c r="D967" s="54"/>
      <c r="E967" s="54"/>
      <c r="F967" s="54"/>
    </row>
    <row r="968">
      <c r="A968" s="67">
        <v>36008.0</v>
      </c>
      <c r="B968" s="68">
        <v>4.5</v>
      </c>
      <c r="C968" s="54"/>
      <c r="D968" s="54"/>
      <c r="E968" s="54"/>
      <c r="F968" s="54"/>
    </row>
    <row r="969">
      <c r="A969" s="67">
        <v>36039.0</v>
      </c>
      <c r="B969" s="68">
        <v>4.6</v>
      </c>
      <c r="C969" s="54"/>
      <c r="D969" s="54"/>
      <c r="E969" s="54"/>
      <c r="F969" s="54"/>
    </row>
    <row r="970">
      <c r="A970" s="67">
        <v>36069.0</v>
      </c>
      <c r="B970" s="68">
        <v>4.5</v>
      </c>
      <c r="C970" s="54"/>
      <c r="D970" s="54"/>
      <c r="E970" s="54"/>
      <c r="F970" s="54"/>
    </row>
    <row r="971">
      <c r="A971" s="67">
        <v>36100.0</v>
      </c>
      <c r="B971" s="68">
        <v>4.4</v>
      </c>
      <c r="C971" s="54"/>
      <c r="D971" s="54"/>
      <c r="E971" s="54"/>
      <c r="F971" s="54"/>
    </row>
    <row r="972">
      <c r="A972" s="67">
        <v>36130.0</v>
      </c>
      <c r="B972" s="68">
        <v>4.4</v>
      </c>
      <c r="C972" s="54"/>
      <c r="D972" s="54"/>
      <c r="E972" s="54"/>
      <c r="F972" s="54"/>
    </row>
    <row r="973">
      <c r="A973" s="67">
        <v>36161.0</v>
      </c>
      <c r="B973" s="68">
        <v>4.3</v>
      </c>
      <c r="C973" s="54"/>
      <c r="D973" s="54"/>
      <c r="E973" s="54"/>
      <c r="F973" s="54"/>
    </row>
    <row r="974">
      <c r="A974" s="67">
        <v>36192.0</v>
      </c>
      <c r="B974" s="68">
        <v>4.4</v>
      </c>
      <c r="C974" s="54"/>
      <c r="D974" s="54"/>
      <c r="E974" s="54"/>
      <c r="F974" s="54"/>
    </row>
    <row r="975">
      <c r="A975" s="67">
        <v>36220.0</v>
      </c>
      <c r="B975" s="68">
        <v>4.2</v>
      </c>
      <c r="C975" s="54"/>
      <c r="D975" s="54"/>
      <c r="E975" s="54"/>
      <c r="F975" s="54"/>
    </row>
    <row r="976">
      <c r="A976" s="67">
        <v>36251.0</v>
      </c>
      <c r="B976" s="68">
        <v>4.3</v>
      </c>
      <c r="C976" s="54"/>
      <c r="D976" s="54"/>
      <c r="E976" s="54"/>
      <c r="F976" s="54"/>
    </row>
    <row r="977">
      <c r="A977" s="67">
        <v>36281.0</v>
      </c>
      <c r="B977" s="68">
        <v>4.2</v>
      </c>
      <c r="C977" s="54"/>
      <c r="D977" s="54"/>
      <c r="E977" s="54"/>
      <c r="F977" s="54"/>
    </row>
    <row r="978">
      <c r="A978" s="67">
        <v>36312.0</v>
      </c>
      <c r="B978" s="68">
        <v>4.3</v>
      </c>
      <c r="C978" s="54"/>
      <c r="D978" s="54"/>
      <c r="E978" s="54"/>
      <c r="F978" s="54"/>
    </row>
    <row r="979">
      <c r="A979" s="67">
        <v>36342.0</v>
      </c>
      <c r="B979" s="68">
        <v>4.3</v>
      </c>
      <c r="C979" s="54"/>
      <c r="D979" s="54"/>
      <c r="E979" s="54"/>
      <c r="F979" s="54"/>
    </row>
    <row r="980">
      <c r="A980" s="67">
        <v>36373.0</v>
      </c>
      <c r="B980" s="68">
        <v>4.2</v>
      </c>
      <c r="C980" s="54"/>
      <c r="D980" s="54"/>
      <c r="E980" s="54"/>
      <c r="F980" s="54"/>
    </row>
    <row r="981">
      <c r="A981" s="67">
        <v>36404.0</v>
      </c>
      <c r="B981" s="68">
        <v>4.2</v>
      </c>
      <c r="C981" s="54"/>
      <c r="D981" s="54"/>
      <c r="E981" s="54"/>
      <c r="F981" s="54"/>
    </row>
    <row r="982">
      <c r="A982" s="67">
        <v>36434.0</v>
      </c>
      <c r="B982" s="68">
        <v>4.1</v>
      </c>
      <c r="C982" s="54"/>
      <c r="D982" s="54"/>
      <c r="E982" s="54"/>
      <c r="F982" s="54"/>
    </row>
    <row r="983">
      <c r="A983" s="67">
        <v>36465.0</v>
      </c>
      <c r="B983" s="68">
        <v>4.1</v>
      </c>
      <c r="C983" s="54"/>
      <c r="D983" s="54"/>
      <c r="E983" s="54"/>
      <c r="F983" s="54"/>
    </row>
    <row r="984">
      <c r="A984" s="67">
        <v>36495.0</v>
      </c>
      <c r="B984" s="68">
        <v>4.0</v>
      </c>
      <c r="C984" s="54"/>
      <c r="D984" s="54"/>
      <c r="E984" s="54"/>
      <c r="F984" s="54"/>
    </row>
    <row r="985">
      <c r="A985" s="67">
        <v>36526.0</v>
      </c>
      <c r="B985" s="68">
        <v>4.0</v>
      </c>
      <c r="C985" s="54"/>
      <c r="D985" s="54"/>
      <c r="E985" s="54"/>
      <c r="F985" s="54"/>
    </row>
    <row r="986">
      <c r="A986" s="67">
        <v>36557.0</v>
      </c>
      <c r="B986" s="68">
        <v>4.1</v>
      </c>
      <c r="C986" s="54"/>
      <c r="D986" s="54"/>
      <c r="E986" s="54"/>
      <c r="F986" s="54"/>
    </row>
    <row r="987">
      <c r="A987" s="67">
        <v>36586.0</v>
      </c>
      <c r="B987" s="68">
        <v>4.0</v>
      </c>
      <c r="C987" s="54"/>
      <c r="D987" s="54"/>
      <c r="E987" s="54"/>
      <c r="F987" s="54"/>
    </row>
    <row r="988">
      <c r="A988" s="67">
        <v>36617.0</v>
      </c>
      <c r="B988" s="68">
        <v>3.8</v>
      </c>
      <c r="C988" s="54"/>
      <c r="D988" s="54"/>
      <c r="E988" s="54"/>
      <c r="F988" s="54"/>
    </row>
    <row r="989">
      <c r="A989" s="67">
        <v>36647.0</v>
      </c>
      <c r="B989" s="68">
        <v>4.0</v>
      </c>
      <c r="C989" s="54"/>
      <c r="D989" s="54"/>
      <c r="E989" s="54"/>
      <c r="F989" s="54"/>
    </row>
    <row r="990">
      <c r="A990" s="67">
        <v>36678.0</v>
      </c>
      <c r="B990" s="68">
        <v>4.0</v>
      </c>
      <c r="C990" s="54"/>
      <c r="D990" s="54"/>
      <c r="E990" s="54"/>
      <c r="F990" s="54"/>
    </row>
    <row r="991">
      <c r="A991" s="67">
        <v>36708.0</v>
      </c>
      <c r="B991" s="68">
        <v>4.0</v>
      </c>
      <c r="C991" s="54"/>
      <c r="D991" s="54"/>
      <c r="E991" s="54"/>
      <c r="F991" s="54"/>
    </row>
    <row r="992">
      <c r="A992" s="67">
        <v>36739.0</v>
      </c>
      <c r="B992" s="68">
        <v>4.1</v>
      </c>
      <c r="C992" s="54"/>
      <c r="D992" s="54"/>
      <c r="E992" s="54"/>
      <c r="F992" s="54"/>
    </row>
    <row r="993">
      <c r="A993" s="67">
        <v>36770.0</v>
      </c>
      <c r="B993" s="68">
        <v>3.9</v>
      </c>
      <c r="C993" s="54"/>
      <c r="D993" s="54"/>
      <c r="E993" s="54"/>
      <c r="F993" s="54"/>
    </row>
    <row r="994">
      <c r="A994" s="67">
        <v>36800.0</v>
      </c>
      <c r="B994" s="68">
        <v>3.9</v>
      </c>
      <c r="C994" s="54"/>
      <c r="D994" s="54"/>
      <c r="E994" s="54"/>
      <c r="F994" s="54"/>
    </row>
    <row r="995">
      <c r="A995" s="67">
        <v>36831.0</v>
      </c>
      <c r="B995" s="68">
        <v>3.9</v>
      </c>
      <c r="C995" s="54"/>
      <c r="D995" s="54"/>
      <c r="E995" s="54"/>
      <c r="F995" s="54"/>
    </row>
    <row r="996">
      <c r="A996" s="67">
        <v>36861.0</v>
      </c>
      <c r="B996" s="68">
        <v>3.9</v>
      </c>
      <c r="C996" s="54"/>
      <c r="D996" s="54"/>
      <c r="E996" s="54"/>
      <c r="F996" s="54"/>
    </row>
    <row r="997">
      <c r="A997" s="67">
        <v>36892.0</v>
      </c>
      <c r="B997" s="68">
        <v>4.2</v>
      </c>
      <c r="C997" s="54"/>
      <c r="D997" s="54"/>
      <c r="E997" s="54"/>
      <c r="F997" s="54"/>
    </row>
    <row r="998">
      <c r="A998" s="67">
        <v>36923.0</v>
      </c>
      <c r="B998" s="68">
        <v>4.2</v>
      </c>
      <c r="C998" s="54"/>
      <c r="D998" s="54"/>
      <c r="E998" s="54"/>
      <c r="F998" s="54"/>
    </row>
    <row r="999">
      <c r="A999" s="67">
        <v>36951.0</v>
      </c>
      <c r="B999" s="68">
        <v>4.3</v>
      </c>
      <c r="C999" s="54"/>
      <c r="D999" s="54"/>
      <c r="E999" s="54"/>
      <c r="F999" s="54"/>
    </row>
    <row r="1000">
      <c r="A1000" s="67">
        <v>36982.0</v>
      </c>
      <c r="B1000" s="68">
        <v>4.4</v>
      </c>
      <c r="C1000" s="54"/>
      <c r="D1000" s="54"/>
      <c r="E1000" s="54"/>
      <c r="F1000" s="54"/>
    </row>
    <row r="1001">
      <c r="A1001" s="67">
        <v>37012.0</v>
      </c>
      <c r="B1001" s="68">
        <v>4.3</v>
      </c>
      <c r="C1001" s="54"/>
      <c r="D1001" s="54"/>
      <c r="E1001" s="54"/>
      <c r="F1001" s="54"/>
    </row>
    <row r="1002">
      <c r="A1002" s="67">
        <v>37043.0</v>
      </c>
      <c r="B1002" s="68">
        <v>4.5</v>
      </c>
      <c r="C1002" s="54"/>
      <c r="D1002" s="54"/>
      <c r="E1002" s="54"/>
      <c r="F1002" s="54"/>
    </row>
    <row r="1003">
      <c r="A1003" s="67">
        <v>37073.0</v>
      </c>
      <c r="B1003" s="68">
        <v>4.6</v>
      </c>
      <c r="C1003" s="54"/>
      <c r="D1003" s="54"/>
      <c r="E1003" s="54"/>
      <c r="F1003" s="54"/>
    </row>
    <row r="1004">
      <c r="A1004" s="67">
        <v>37104.0</v>
      </c>
      <c r="B1004" s="68">
        <v>4.9</v>
      </c>
      <c r="C1004" s="54"/>
      <c r="D1004" s="54"/>
      <c r="E1004" s="54"/>
      <c r="F1004" s="54"/>
    </row>
    <row r="1005">
      <c r="A1005" s="67">
        <v>37135.0</v>
      </c>
      <c r="B1005" s="68">
        <v>5.0</v>
      </c>
      <c r="C1005" s="54"/>
      <c r="D1005" s="54"/>
      <c r="E1005" s="54"/>
      <c r="F1005" s="54"/>
    </row>
    <row r="1006">
      <c r="A1006" s="67">
        <v>37165.0</v>
      </c>
      <c r="B1006" s="68">
        <v>5.3</v>
      </c>
      <c r="C1006" s="54"/>
      <c r="D1006" s="54"/>
      <c r="E1006" s="54"/>
      <c r="F1006" s="54"/>
    </row>
    <row r="1007">
      <c r="A1007" s="67">
        <v>37196.0</v>
      </c>
      <c r="B1007" s="68">
        <v>5.5</v>
      </c>
      <c r="C1007" s="54"/>
      <c r="D1007" s="54"/>
      <c r="E1007" s="54"/>
      <c r="F1007" s="54"/>
    </row>
    <row r="1008">
      <c r="A1008" s="67">
        <v>37226.0</v>
      </c>
      <c r="B1008" s="68">
        <v>5.7</v>
      </c>
      <c r="C1008" s="54"/>
      <c r="D1008" s="54"/>
      <c r="E1008" s="54"/>
      <c r="F1008" s="54"/>
    </row>
    <row r="1009">
      <c r="A1009" s="67">
        <v>37257.0</v>
      </c>
      <c r="B1009" s="68">
        <v>5.7</v>
      </c>
      <c r="C1009" s="54"/>
      <c r="D1009" s="54"/>
      <c r="E1009" s="54"/>
      <c r="F1009" s="54"/>
    </row>
    <row r="1010">
      <c r="A1010" s="67">
        <v>37288.0</v>
      </c>
      <c r="B1010" s="68">
        <v>5.7</v>
      </c>
      <c r="C1010" s="54"/>
      <c r="D1010" s="54"/>
      <c r="E1010" s="54"/>
      <c r="F1010" s="54"/>
    </row>
    <row r="1011">
      <c r="A1011" s="67">
        <v>37316.0</v>
      </c>
      <c r="B1011" s="68">
        <v>5.7</v>
      </c>
      <c r="C1011" s="54"/>
      <c r="D1011" s="54"/>
      <c r="E1011" s="54"/>
      <c r="F1011" s="54"/>
    </row>
    <row r="1012">
      <c r="A1012" s="67">
        <v>37347.0</v>
      </c>
      <c r="B1012" s="68">
        <v>5.9</v>
      </c>
      <c r="C1012" s="54"/>
      <c r="D1012" s="54"/>
      <c r="E1012" s="54"/>
      <c r="F1012" s="54"/>
    </row>
    <row r="1013">
      <c r="A1013" s="67">
        <v>37377.0</v>
      </c>
      <c r="B1013" s="68">
        <v>5.8</v>
      </c>
      <c r="C1013" s="54"/>
      <c r="D1013" s="54"/>
      <c r="E1013" s="54"/>
      <c r="F1013" s="54"/>
    </row>
    <row r="1014">
      <c r="A1014" s="67">
        <v>37408.0</v>
      </c>
      <c r="B1014" s="68">
        <v>5.8</v>
      </c>
      <c r="C1014" s="54"/>
      <c r="D1014" s="54"/>
      <c r="E1014" s="54"/>
      <c r="F1014" s="54"/>
    </row>
    <row r="1015">
      <c r="A1015" s="67">
        <v>37438.0</v>
      </c>
      <c r="B1015" s="68">
        <v>5.8</v>
      </c>
      <c r="C1015" s="54"/>
      <c r="D1015" s="54"/>
      <c r="E1015" s="54"/>
      <c r="F1015" s="54"/>
    </row>
    <row r="1016">
      <c r="A1016" s="67">
        <v>37469.0</v>
      </c>
      <c r="B1016" s="68">
        <v>5.7</v>
      </c>
      <c r="C1016" s="54"/>
      <c r="D1016" s="54"/>
      <c r="E1016" s="54"/>
      <c r="F1016" s="54"/>
    </row>
    <row r="1017">
      <c r="A1017" s="67">
        <v>37500.0</v>
      </c>
      <c r="B1017" s="68">
        <v>5.7</v>
      </c>
      <c r="C1017" s="54"/>
      <c r="D1017" s="54"/>
      <c r="E1017" s="54"/>
      <c r="F1017" s="54"/>
    </row>
    <row r="1018">
      <c r="A1018" s="67">
        <v>37530.0</v>
      </c>
      <c r="B1018" s="68">
        <v>5.7</v>
      </c>
      <c r="C1018" s="54"/>
      <c r="D1018" s="54"/>
      <c r="E1018" s="54"/>
      <c r="F1018" s="54"/>
    </row>
    <row r="1019">
      <c r="A1019" s="67">
        <v>37561.0</v>
      </c>
      <c r="B1019" s="68">
        <v>5.9</v>
      </c>
      <c r="C1019" s="54"/>
      <c r="D1019" s="54"/>
      <c r="E1019" s="54"/>
      <c r="F1019" s="54"/>
    </row>
    <row r="1020">
      <c r="A1020" s="67">
        <v>37591.0</v>
      </c>
      <c r="B1020" s="68">
        <v>6.0</v>
      </c>
      <c r="C1020" s="54"/>
      <c r="D1020" s="54"/>
      <c r="E1020" s="54"/>
      <c r="F1020" s="54"/>
    </row>
    <row r="1021">
      <c r="A1021" s="67">
        <v>37622.0</v>
      </c>
      <c r="B1021" s="68">
        <v>5.8</v>
      </c>
      <c r="C1021" s="54"/>
      <c r="D1021" s="54"/>
      <c r="E1021" s="54"/>
      <c r="F1021" s="54"/>
    </row>
    <row r="1022">
      <c r="A1022" s="67">
        <v>37653.0</v>
      </c>
      <c r="B1022" s="68">
        <v>5.9</v>
      </c>
      <c r="C1022" s="54"/>
      <c r="D1022" s="54"/>
      <c r="E1022" s="54"/>
      <c r="F1022" s="54"/>
    </row>
    <row r="1023">
      <c r="A1023" s="67">
        <v>37681.0</v>
      </c>
      <c r="B1023" s="68">
        <v>5.9</v>
      </c>
      <c r="C1023" s="54"/>
      <c r="D1023" s="54"/>
      <c r="E1023" s="54"/>
      <c r="F1023" s="54"/>
    </row>
    <row r="1024">
      <c r="A1024" s="67">
        <v>37712.0</v>
      </c>
      <c r="B1024" s="68">
        <v>6.0</v>
      </c>
      <c r="C1024" s="54"/>
      <c r="D1024" s="54"/>
      <c r="E1024" s="54"/>
      <c r="F1024" s="54"/>
    </row>
    <row r="1025">
      <c r="A1025" s="67">
        <v>37742.0</v>
      </c>
      <c r="B1025" s="68">
        <v>6.1</v>
      </c>
      <c r="C1025" s="54"/>
      <c r="D1025" s="54"/>
      <c r="E1025" s="54"/>
      <c r="F1025" s="54"/>
    </row>
    <row r="1026">
      <c r="A1026" s="67">
        <v>37773.0</v>
      </c>
      <c r="B1026" s="68">
        <v>6.3</v>
      </c>
      <c r="C1026" s="54"/>
      <c r="D1026" s="54"/>
      <c r="E1026" s="54"/>
      <c r="F1026" s="54"/>
    </row>
    <row r="1027">
      <c r="A1027" s="67">
        <v>37803.0</v>
      </c>
      <c r="B1027" s="68">
        <v>6.2</v>
      </c>
      <c r="C1027" s="54"/>
      <c r="D1027" s="54"/>
      <c r="E1027" s="54"/>
      <c r="F1027" s="54"/>
    </row>
    <row r="1028">
      <c r="A1028" s="67">
        <v>37834.0</v>
      </c>
      <c r="B1028" s="68">
        <v>6.1</v>
      </c>
      <c r="C1028" s="54"/>
      <c r="D1028" s="54"/>
      <c r="E1028" s="54"/>
      <c r="F1028" s="54"/>
    </row>
    <row r="1029">
      <c r="A1029" s="67">
        <v>37865.0</v>
      </c>
      <c r="B1029" s="68">
        <v>6.1</v>
      </c>
      <c r="C1029" s="54"/>
      <c r="D1029" s="54"/>
      <c r="E1029" s="54"/>
      <c r="F1029" s="54"/>
    </row>
    <row r="1030">
      <c r="A1030" s="67">
        <v>37895.0</v>
      </c>
      <c r="B1030" s="68">
        <v>6.0</v>
      </c>
      <c r="C1030" s="54"/>
      <c r="D1030" s="54"/>
      <c r="E1030" s="54"/>
      <c r="F1030" s="54"/>
    </row>
    <row r="1031">
      <c r="A1031" s="67">
        <v>37926.0</v>
      </c>
      <c r="B1031" s="68">
        <v>5.8</v>
      </c>
      <c r="C1031" s="54"/>
      <c r="D1031" s="54"/>
      <c r="E1031" s="54"/>
      <c r="F1031" s="54"/>
    </row>
    <row r="1032">
      <c r="A1032" s="67">
        <v>37956.0</v>
      </c>
      <c r="B1032" s="68">
        <v>5.7</v>
      </c>
      <c r="C1032" s="54"/>
      <c r="D1032" s="54"/>
      <c r="E1032" s="54"/>
      <c r="F1032" s="54"/>
    </row>
    <row r="1033">
      <c r="A1033" s="67">
        <v>37987.0</v>
      </c>
      <c r="B1033" s="68">
        <v>5.7</v>
      </c>
      <c r="C1033" s="54"/>
      <c r="D1033" s="54"/>
      <c r="E1033" s="54"/>
      <c r="F1033" s="54"/>
    </row>
    <row r="1034">
      <c r="A1034" s="67">
        <v>38018.0</v>
      </c>
      <c r="B1034" s="68">
        <v>5.6</v>
      </c>
      <c r="C1034" s="54"/>
      <c r="D1034" s="54"/>
      <c r="E1034" s="54"/>
      <c r="F1034" s="54"/>
    </row>
    <row r="1035">
      <c r="A1035" s="67">
        <v>38047.0</v>
      </c>
      <c r="B1035" s="68">
        <v>5.8</v>
      </c>
      <c r="C1035" s="54"/>
      <c r="D1035" s="54"/>
      <c r="E1035" s="54"/>
      <c r="F1035" s="54"/>
    </row>
    <row r="1036">
      <c r="A1036" s="67">
        <v>38078.0</v>
      </c>
      <c r="B1036" s="68">
        <v>5.6</v>
      </c>
      <c r="C1036" s="54"/>
      <c r="D1036" s="54"/>
      <c r="E1036" s="54"/>
      <c r="F1036" s="54"/>
    </row>
    <row r="1037">
      <c r="A1037" s="67">
        <v>38108.0</v>
      </c>
      <c r="B1037" s="68">
        <v>5.6</v>
      </c>
      <c r="C1037" s="54"/>
      <c r="D1037" s="54"/>
      <c r="E1037" s="54"/>
      <c r="F1037" s="54"/>
    </row>
    <row r="1038">
      <c r="A1038" s="67">
        <v>38139.0</v>
      </c>
      <c r="B1038" s="68">
        <v>5.6</v>
      </c>
      <c r="C1038" s="54"/>
      <c r="D1038" s="54"/>
      <c r="E1038" s="54"/>
      <c r="F1038" s="54"/>
    </row>
    <row r="1039">
      <c r="A1039" s="67">
        <v>38169.0</v>
      </c>
      <c r="B1039" s="68">
        <v>5.5</v>
      </c>
      <c r="C1039" s="54"/>
      <c r="D1039" s="54"/>
      <c r="E1039" s="54"/>
      <c r="F1039" s="54"/>
    </row>
    <row r="1040">
      <c r="A1040" s="67">
        <v>38200.0</v>
      </c>
      <c r="B1040" s="68">
        <v>5.4</v>
      </c>
      <c r="C1040" s="54"/>
      <c r="D1040" s="54"/>
      <c r="E1040" s="54"/>
      <c r="F1040" s="54"/>
    </row>
    <row r="1041">
      <c r="A1041" s="67">
        <v>38231.0</v>
      </c>
      <c r="B1041" s="68">
        <v>5.4</v>
      </c>
      <c r="C1041" s="54"/>
      <c r="D1041" s="54"/>
      <c r="E1041" s="54"/>
      <c r="F1041" s="54"/>
    </row>
    <row r="1042">
      <c r="A1042" s="67">
        <v>38261.0</v>
      </c>
      <c r="B1042" s="68">
        <v>5.5</v>
      </c>
      <c r="C1042" s="54"/>
      <c r="D1042" s="54"/>
      <c r="E1042" s="54"/>
      <c r="F1042" s="54"/>
    </row>
    <row r="1043">
      <c r="A1043" s="67">
        <v>38292.0</v>
      </c>
      <c r="B1043" s="68">
        <v>5.4</v>
      </c>
      <c r="C1043" s="54"/>
      <c r="D1043" s="54"/>
      <c r="E1043" s="54"/>
      <c r="F1043" s="54"/>
    </row>
    <row r="1044">
      <c r="A1044" s="67">
        <v>38322.0</v>
      </c>
      <c r="B1044" s="68">
        <v>5.4</v>
      </c>
      <c r="C1044" s="54"/>
      <c r="D1044" s="54"/>
      <c r="E1044" s="54"/>
      <c r="F1044" s="54"/>
    </row>
    <row r="1045">
      <c r="A1045" s="67">
        <v>38353.0</v>
      </c>
      <c r="B1045" s="68">
        <v>5.3</v>
      </c>
      <c r="C1045" s="54"/>
      <c r="D1045" s="54"/>
      <c r="E1045" s="54"/>
      <c r="F1045" s="54"/>
    </row>
    <row r="1046">
      <c r="A1046" s="67">
        <v>38384.0</v>
      </c>
      <c r="B1046" s="68">
        <v>5.4</v>
      </c>
      <c r="C1046" s="54"/>
      <c r="D1046" s="54"/>
      <c r="E1046" s="54"/>
      <c r="F1046" s="54"/>
    </row>
    <row r="1047">
      <c r="A1047" s="67">
        <v>38412.0</v>
      </c>
      <c r="B1047" s="68">
        <v>5.2</v>
      </c>
      <c r="C1047" s="54"/>
      <c r="D1047" s="54"/>
      <c r="E1047" s="54"/>
      <c r="F1047" s="54"/>
    </row>
    <row r="1048">
      <c r="A1048" s="67">
        <v>38443.0</v>
      </c>
      <c r="B1048" s="68">
        <v>5.2</v>
      </c>
      <c r="C1048" s="54"/>
      <c r="D1048" s="54"/>
      <c r="E1048" s="54"/>
      <c r="F1048" s="54"/>
    </row>
    <row r="1049">
      <c r="A1049" s="67">
        <v>38473.0</v>
      </c>
      <c r="B1049" s="68">
        <v>5.1</v>
      </c>
      <c r="C1049" s="54"/>
      <c r="D1049" s="54"/>
      <c r="E1049" s="54"/>
      <c r="F1049" s="54"/>
    </row>
    <row r="1050">
      <c r="A1050" s="67">
        <v>38504.0</v>
      </c>
      <c r="B1050" s="68">
        <v>5.0</v>
      </c>
      <c r="C1050" s="54"/>
      <c r="D1050" s="54"/>
      <c r="E1050" s="54"/>
      <c r="F1050" s="54"/>
    </row>
    <row r="1051">
      <c r="A1051" s="67">
        <v>38534.0</v>
      </c>
      <c r="B1051" s="68">
        <v>5.0</v>
      </c>
      <c r="C1051" s="54"/>
      <c r="D1051" s="54"/>
      <c r="E1051" s="54"/>
      <c r="F1051" s="54"/>
    </row>
    <row r="1052">
      <c r="A1052" s="67">
        <v>38565.0</v>
      </c>
      <c r="B1052" s="68">
        <v>4.9</v>
      </c>
      <c r="C1052" s="54"/>
      <c r="D1052" s="54"/>
      <c r="E1052" s="54"/>
      <c r="F1052" s="54"/>
    </row>
    <row r="1053">
      <c r="A1053" s="67">
        <v>38596.0</v>
      </c>
      <c r="B1053" s="68">
        <v>5.0</v>
      </c>
      <c r="C1053" s="54"/>
      <c r="D1053" s="54"/>
      <c r="E1053" s="54"/>
      <c r="F1053" s="54"/>
    </row>
    <row r="1054">
      <c r="A1054" s="67">
        <v>38626.0</v>
      </c>
      <c r="B1054" s="68">
        <v>5.0</v>
      </c>
      <c r="C1054" s="54"/>
      <c r="D1054" s="54"/>
      <c r="E1054" s="54"/>
      <c r="F1054" s="54"/>
    </row>
    <row r="1055">
      <c r="A1055" s="67">
        <v>38657.0</v>
      </c>
      <c r="B1055" s="68">
        <v>5.0</v>
      </c>
      <c r="C1055" s="54"/>
      <c r="D1055" s="54"/>
      <c r="E1055" s="54"/>
      <c r="F1055" s="54"/>
    </row>
    <row r="1056">
      <c r="A1056" s="67">
        <v>38687.0</v>
      </c>
      <c r="B1056" s="68">
        <v>4.9</v>
      </c>
      <c r="C1056" s="54"/>
      <c r="D1056" s="54"/>
      <c r="E1056" s="54"/>
      <c r="F1056" s="54"/>
    </row>
    <row r="1057">
      <c r="A1057" s="67">
        <v>38718.0</v>
      </c>
      <c r="B1057" s="68">
        <v>4.7</v>
      </c>
      <c r="C1057" s="54"/>
      <c r="D1057" s="54"/>
      <c r="E1057" s="54"/>
      <c r="F1057" s="54"/>
    </row>
    <row r="1058">
      <c r="A1058" s="67">
        <v>38749.0</v>
      </c>
      <c r="B1058" s="68">
        <v>4.8</v>
      </c>
      <c r="C1058" s="54"/>
      <c r="D1058" s="54"/>
      <c r="E1058" s="54"/>
      <c r="F1058" s="54"/>
    </row>
    <row r="1059">
      <c r="A1059" s="67">
        <v>38777.0</v>
      </c>
      <c r="B1059" s="68">
        <v>4.7</v>
      </c>
      <c r="C1059" s="54"/>
      <c r="D1059" s="54"/>
      <c r="E1059" s="54"/>
      <c r="F1059" s="54"/>
    </row>
    <row r="1060">
      <c r="A1060" s="67">
        <v>38808.0</v>
      </c>
      <c r="B1060" s="68">
        <v>4.7</v>
      </c>
      <c r="C1060" s="54"/>
      <c r="D1060" s="54"/>
      <c r="E1060" s="54"/>
      <c r="F1060" s="54"/>
    </row>
    <row r="1061">
      <c r="A1061" s="67">
        <v>38838.0</v>
      </c>
      <c r="B1061" s="68">
        <v>4.6</v>
      </c>
      <c r="C1061" s="54"/>
      <c r="D1061" s="54"/>
      <c r="E1061" s="54"/>
      <c r="F1061" s="54"/>
    </row>
    <row r="1062">
      <c r="A1062" s="67">
        <v>38869.0</v>
      </c>
      <c r="B1062" s="68">
        <v>4.6</v>
      </c>
      <c r="C1062" s="54"/>
      <c r="D1062" s="54"/>
      <c r="E1062" s="54"/>
      <c r="F1062" s="54"/>
    </row>
    <row r="1063">
      <c r="A1063" s="67">
        <v>38899.0</v>
      </c>
      <c r="B1063" s="68">
        <v>4.7</v>
      </c>
      <c r="C1063" s="54"/>
      <c r="D1063" s="54"/>
      <c r="E1063" s="54"/>
      <c r="F1063" s="54"/>
    </row>
    <row r="1064">
      <c r="A1064" s="67">
        <v>38930.0</v>
      </c>
      <c r="B1064" s="68">
        <v>4.7</v>
      </c>
      <c r="C1064" s="54"/>
      <c r="D1064" s="54"/>
      <c r="E1064" s="54"/>
      <c r="F1064" s="54"/>
    </row>
    <row r="1065">
      <c r="A1065" s="67">
        <v>38961.0</v>
      </c>
      <c r="B1065" s="68">
        <v>4.5</v>
      </c>
      <c r="C1065" s="54"/>
      <c r="D1065" s="54"/>
      <c r="E1065" s="54"/>
      <c r="F1065" s="54"/>
    </row>
    <row r="1066">
      <c r="A1066" s="67">
        <v>38991.0</v>
      </c>
      <c r="B1066" s="68">
        <v>4.4</v>
      </c>
      <c r="C1066" s="54"/>
      <c r="D1066" s="54"/>
      <c r="E1066" s="54"/>
      <c r="F1066" s="54"/>
    </row>
    <row r="1067">
      <c r="A1067" s="67">
        <v>39022.0</v>
      </c>
      <c r="B1067" s="68">
        <v>4.5</v>
      </c>
      <c r="C1067" s="54"/>
      <c r="D1067" s="54"/>
      <c r="E1067" s="54"/>
      <c r="F1067" s="54"/>
    </row>
    <row r="1068">
      <c r="A1068" s="67">
        <v>39052.0</v>
      </c>
      <c r="B1068" s="68">
        <v>4.4</v>
      </c>
      <c r="C1068" s="54"/>
      <c r="D1068" s="54"/>
      <c r="E1068" s="54"/>
      <c r="F1068" s="54"/>
    </row>
    <row r="1069">
      <c r="A1069" s="67">
        <v>39083.0</v>
      </c>
      <c r="B1069" s="68">
        <v>4.6</v>
      </c>
      <c r="C1069" s="54"/>
      <c r="D1069" s="54"/>
      <c r="E1069" s="54"/>
      <c r="F1069" s="54"/>
    </row>
    <row r="1070">
      <c r="A1070" s="67">
        <v>39114.0</v>
      </c>
      <c r="B1070" s="68">
        <v>4.5</v>
      </c>
      <c r="C1070" s="54"/>
      <c r="D1070" s="54"/>
      <c r="E1070" s="54"/>
      <c r="F1070" s="54"/>
    </row>
    <row r="1071">
      <c r="A1071" s="67">
        <v>39142.0</v>
      </c>
      <c r="B1071" s="68">
        <v>4.4</v>
      </c>
      <c r="C1071" s="54"/>
      <c r="D1071" s="54"/>
      <c r="E1071" s="54"/>
      <c r="F1071" s="54"/>
    </row>
    <row r="1072">
      <c r="A1072" s="67">
        <v>39173.0</v>
      </c>
      <c r="B1072" s="68">
        <v>4.5</v>
      </c>
      <c r="C1072" s="54"/>
      <c r="D1072" s="54"/>
      <c r="E1072" s="54"/>
      <c r="F1072" s="54"/>
    </row>
    <row r="1073">
      <c r="A1073" s="67">
        <v>39203.0</v>
      </c>
      <c r="B1073" s="68">
        <v>4.4</v>
      </c>
      <c r="C1073" s="54"/>
      <c r="D1073" s="54"/>
      <c r="E1073" s="54"/>
      <c r="F1073" s="54"/>
    </row>
    <row r="1074">
      <c r="A1074" s="67">
        <v>39234.0</v>
      </c>
      <c r="B1074" s="68">
        <v>4.6</v>
      </c>
      <c r="C1074" s="54"/>
      <c r="D1074" s="54"/>
      <c r="E1074" s="54"/>
      <c r="F1074" s="54"/>
    </row>
    <row r="1075">
      <c r="A1075" s="67">
        <v>39264.0</v>
      </c>
      <c r="B1075" s="68">
        <v>4.7</v>
      </c>
      <c r="C1075" s="54"/>
      <c r="D1075" s="54"/>
      <c r="E1075" s="54"/>
      <c r="F1075" s="54"/>
    </row>
    <row r="1076">
      <c r="A1076" s="67">
        <v>39295.0</v>
      </c>
      <c r="B1076" s="68">
        <v>4.6</v>
      </c>
      <c r="C1076" s="54"/>
      <c r="D1076" s="54"/>
      <c r="E1076" s="54"/>
      <c r="F1076" s="54"/>
    </row>
    <row r="1077">
      <c r="A1077" s="67">
        <v>39326.0</v>
      </c>
      <c r="B1077" s="68">
        <v>4.7</v>
      </c>
      <c r="C1077" s="54"/>
      <c r="D1077" s="54"/>
      <c r="E1077" s="54"/>
      <c r="F1077" s="54"/>
    </row>
    <row r="1078">
      <c r="A1078" s="67">
        <v>39356.0</v>
      </c>
      <c r="B1078" s="68">
        <v>4.7</v>
      </c>
      <c r="C1078" s="54"/>
      <c r="D1078" s="54"/>
      <c r="E1078" s="54"/>
      <c r="F1078" s="54"/>
    </row>
    <row r="1079">
      <c r="A1079" s="67">
        <v>39387.0</v>
      </c>
      <c r="B1079" s="68">
        <v>4.7</v>
      </c>
      <c r="C1079" s="54"/>
      <c r="D1079" s="54"/>
      <c r="E1079" s="54"/>
      <c r="F1079" s="54"/>
    </row>
    <row r="1080">
      <c r="A1080" s="67">
        <v>39417.0</v>
      </c>
      <c r="B1080" s="68">
        <v>5.0</v>
      </c>
      <c r="C1080" s="54"/>
      <c r="D1080" s="54"/>
      <c r="E1080" s="54"/>
      <c r="F1080" s="54"/>
    </row>
    <row r="1081">
      <c r="A1081" s="67">
        <v>39448.0</v>
      </c>
      <c r="B1081" s="68">
        <v>5.0</v>
      </c>
      <c r="C1081" s="54"/>
      <c r="D1081" s="54"/>
      <c r="E1081" s="54"/>
      <c r="F1081" s="54"/>
    </row>
    <row r="1082">
      <c r="A1082" s="67">
        <v>39479.0</v>
      </c>
      <c r="B1082" s="68">
        <v>4.9</v>
      </c>
      <c r="C1082" s="54"/>
      <c r="D1082" s="54"/>
      <c r="E1082" s="54"/>
      <c r="F1082" s="54"/>
    </row>
    <row r="1083">
      <c r="A1083" s="67">
        <v>39508.0</v>
      </c>
      <c r="B1083" s="68">
        <v>5.1</v>
      </c>
      <c r="C1083" s="54"/>
      <c r="D1083" s="54"/>
      <c r="E1083" s="54"/>
      <c r="F1083" s="54"/>
    </row>
    <row r="1084">
      <c r="A1084" s="67">
        <v>39539.0</v>
      </c>
      <c r="B1084" s="68">
        <v>5.0</v>
      </c>
      <c r="C1084" s="54"/>
      <c r="D1084" s="54"/>
      <c r="E1084" s="54"/>
      <c r="F1084" s="54"/>
    </row>
    <row r="1085">
      <c r="A1085" s="67">
        <v>39569.0</v>
      </c>
      <c r="B1085" s="68">
        <v>5.4</v>
      </c>
      <c r="C1085" s="54"/>
      <c r="D1085" s="54"/>
      <c r="E1085" s="54"/>
      <c r="F1085" s="54"/>
    </row>
    <row r="1086">
      <c r="A1086" s="67">
        <v>39600.0</v>
      </c>
      <c r="B1086" s="68">
        <v>5.6</v>
      </c>
      <c r="C1086" s="54"/>
      <c r="D1086" s="54"/>
      <c r="E1086" s="54"/>
      <c r="F1086" s="54"/>
    </row>
    <row r="1087">
      <c r="A1087" s="67">
        <v>39630.0</v>
      </c>
      <c r="B1087" s="68">
        <v>5.8</v>
      </c>
      <c r="C1087" s="54"/>
      <c r="D1087" s="54"/>
      <c r="E1087" s="54"/>
      <c r="F1087" s="54"/>
    </row>
    <row r="1088">
      <c r="A1088" s="67">
        <v>39661.0</v>
      </c>
      <c r="B1088" s="68">
        <v>6.1</v>
      </c>
      <c r="C1088" s="54"/>
      <c r="D1088" s="54"/>
      <c r="E1088" s="54"/>
      <c r="F1088" s="54"/>
    </row>
    <row r="1089">
      <c r="A1089" s="67">
        <v>39692.0</v>
      </c>
      <c r="B1089" s="68">
        <v>6.1</v>
      </c>
      <c r="C1089" s="54"/>
      <c r="D1089" s="54"/>
      <c r="E1089" s="54"/>
      <c r="F1089" s="54"/>
    </row>
    <row r="1090">
      <c r="A1090" s="67">
        <v>39722.0</v>
      </c>
      <c r="B1090" s="68">
        <v>6.5</v>
      </c>
      <c r="C1090" s="54"/>
      <c r="D1090" s="54"/>
      <c r="E1090" s="54"/>
      <c r="F1090" s="54"/>
    </row>
    <row r="1091">
      <c r="A1091" s="67">
        <v>39753.0</v>
      </c>
      <c r="B1091" s="68">
        <v>6.8</v>
      </c>
      <c r="C1091" s="54"/>
      <c r="D1091" s="54"/>
      <c r="E1091" s="54"/>
      <c r="F1091" s="54"/>
    </row>
    <row r="1092">
      <c r="A1092" s="67">
        <v>39783.0</v>
      </c>
      <c r="B1092" s="68">
        <v>7.3</v>
      </c>
      <c r="C1092" s="54"/>
      <c r="D1092" s="54"/>
      <c r="E1092" s="54"/>
      <c r="F1092" s="54"/>
    </row>
    <row r="1093">
      <c r="A1093" s="67">
        <v>39814.0</v>
      </c>
      <c r="B1093" s="68">
        <v>7.8</v>
      </c>
      <c r="C1093" s="54"/>
      <c r="D1093" s="54"/>
      <c r="E1093" s="54"/>
      <c r="F1093" s="54"/>
    </row>
    <row r="1094">
      <c r="A1094" s="67">
        <v>39845.0</v>
      </c>
      <c r="B1094" s="68">
        <v>8.3</v>
      </c>
      <c r="C1094" s="54"/>
      <c r="D1094" s="54"/>
      <c r="E1094" s="54"/>
      <c r="F1094" s="54"/>
    </row>
    <row r="1095">
      <c r="A1095" s="67">
        <v>39873.0</v>
      </c>
      <c r="B1095" s="68">
        <v>8.7</v>
      </c>
      <c r="C1095" s="54"/>
      <c r="D1095" s="54"/>
      <c r="E1095" s="54"/>
      <c r="F1095" s="54"/>
    </row>
    <row r="1096">
      <c r="A1096" s="67">
        <v>39904.0</v>
      </c>
      <c r="B1096" s="68">
        <v>9.0</v>
      </c>
      <c r="C1096" s="54"/>
      <c r="D1096" s="54"/>
      <c r="E1096" s="54"/>
      <c r="F1096" s="54"/>
    </row>
    <row r="1097">
      <c r="A1097" s="67">
        <v>39934.0</v>
      </c>
      <c r="B1097" s="68">
        <v>9.4</v>
      </c>
      <c r="C1097" s="54"/>
      <c r="D1097" s="54"/>
      <c r="E1097" s="54"/>
      <c r="F1097" s="54"/>
    </row>
    <row r="1098">
      <c r="A1098" s="67">
        <v>39965.0</v>
      </c>
      <c r="B1098" s="68">
        <v>9.5</v>
      </c>
      <c r="C1098" s="54"/>
      <c r="D1098" s="54"/>
      <c r="E1098" s="54"/>
      <c r="F1098" s="54"/>
    </row>
    <row r="1099">
      <c r="A1099" s="67">
        <v>39995.0</v>
      </c>
      <c r="B1099" s="68">
        <v>9.5</v>
      </c>
      <c r="C1099" s="54"/>
      <c r="D1099" s="54"/>
      <c r="E1099" s="54"/>
      <c r="F1099" s="54"/>
    </row>
    <row r="1100">
      <c r="A1100" s="67">
        <v>40026.0</v>
      </c>
      <c r="B1100" s="68">
        <v>9.6</v>
      </c>
      <c r="C1100" s="54"/>
      <c r="D1100" s="54"/>
      <c r="E1100" s="54"/>
      <c r="F1100" s="54"/>
    </row>
    <row r="1101">
      <c r="A1101" s="67">
        <v>40057.0</v>
      </c>
      <c r="B1101" s="68">
        <v>9.8</v>
      </c>
      <c r="C1101" s="54"/>
      <c r="D1101" s="54"/>
      <c r="E1101" s="54"/>
      <c r="F1101" s="54"/>
    </row>
    <row r="1102">
      <c r="A1102" s="67">
        <v>40087.0</v>
      </c>
      <c r="B1102" s="68">
        <v>10.0</v>
      </c>
      <c r="C1102" s="54"/>
      <c r="D1102" s="54"/>
      <c r="E1102" s="54"/>
      <c r="F1102" s="54"/>
    </row>
    <row r="1103">
      <c r="A1103" s="67">
        <v>40118.0</v>
      </c>
      <c r="B1103" s="68">
        <v>9.9</v>
      </c>
      <c r="C1103" s="54"/>
      <c r="D1103" s="54"/>
      <c r="E1103" s="54"/>
      <c r="F1103" s="54"/>
    </row>
    <row r="1104">
      <c r="A1104" s="67">
        <v>40148.0</v>
      </c>
      <c r="B1104" s="68">
        <v>9.9</v>
      </c>
      <c r="C1104" s="54"/>
      <c r="D1104" s="54"/>
      <c r="E1104" s="54"/>
      <c r="F1104" s="54"/>
    </row>
    <row r="1105">
      <c r="A1105" s="67">
        <v>40179.0</v>
      </c>
      <c r="B1105" s="68">
        <v>9.8</v>
      </c>
      <c r="C1105" s="54"/>
      <c r="D1105" s="54"/>
      <c r="E1105" s="54"/>
      <c r="F1105" s="54"/>
    </row>
    <row r="1106">
      <c r="A1106" s="67">
        <v>40210.0</v>
      </c>
      <c r="B1106" s="68">
        <v>9.8</v>
      </c>
      <c r="C1106" s="54"/>
      <c r="D1106" s="54"/>
      <c r="E1106" s="54"/>
      <c r="F1106" s="54"/>
    </row>
    <row r="1107">
      <c r="A1107" s="67">
        <v>40238.0</v>
      </c>
      <c r="B1107" s="68">
        <v>9.9</v>
      </c>
      <c r="C1107" s="54"/>
      <c r="D1107" s="54"/>
      <c r="E1107" s="54"/>
      <c r="F1107" s="54"/>
    </row>
    <row r="1108">
      <c r="A1108" s="67">
        <v>40269.0</v>
      </c>
      <c r="B1108" s="68">
        <v>9.9</v>
      </c>
      <c r="C1108" s="54"/>
      <c r="D1108" s="54"/>
      <c r="E1108" s="54"/>
      <c r="F1108" s="54"/>
    </row>
    <row r="1109">
      <c r="A1109" s="67">
        <v>40299.0</v>
      </c>
      <c r="B1109" s="68">
        <v>9.6</v>
      </c>
      <c r="C1109" s="54"/>
      <c r="D1109" s="54"/>
      <c r="E1109" s="54"/>
      <c r="F1109" s="54"/>
    </row>
    <row r="1110">
      <c r="A1110" s="67">
        <v>40330.0</v>
      </c>
      <c r="B1110" s="68">
        <v>9.4</v>
      </c>
      <c r="C1110" s="54"/>
      <c r="D1110" s="54"/>
      <c r="E1110" s="54"/>
      <c r="F1110" s="54"/>
    </row>
    <row r="1111">
      <c r="A1111" s="67">
        <v>40360.0</v>
      </c>
      <c r="B1111" s="68">
        <v>9.4</v>
      </c>
      <c r="C1111" s="54"/>
      <c r="D1111" s="54"/>
      <c r="E1111" s="54"/>
      <c r="F1111" s="54"/>
    </row>
    <row r="1112">
      <c r="A1112" s="67">
        <v>40391.0</v>
      </c>
      <c r="B1112" s="68">
        <v>9.5</v>
      </c>
      <c r="C1112" s="54"/>
      <c r="D1112" s="54"/>
      <c r="E1112" s="54"/>
      <c r="F1112" s="54"/>
    </row>
    <row r="1113">
      <c r="A1113" s="67">
        <v>40422.0</v>
      </c>
      <c r="B1113" s="68">
        <v>9.5</v>
      </c>
      <c r="C1113" s="54"/>
      <c r="D1113" s="54"/>
      <c r="E1113" s="54"/>
      <c r="F1113" s="54"/>
    </row>
    <row r="1114">
      <c r="A1114" s="67">
        <v>40452.0</v>
      </c>
      <c r="B1114" s="68">
        <v>9.4</v>
      </c>
      <c r="C1114" s="54"/>
      <c r="D1114" s="54"/>
      <c r="E1114" s="54"/>
      <c r="F1114" s="54"/>
    </row>
    <row r="1115">
      <c r="A1115" s="67">
        <v>40483.0</v>
      </c>
      <c r="B1115" s="68">
        <v>9.8</v>
      </c>
      <c r="C1115" s="54"/>
      <c r="D1115" s="54"/>
      <c r="E1115" s="54"/>
      <c r="F1115" s="54"/>
    </row>
    <row r="1116">
      <c r="A1116" s="67">
        <v>40513.0</v>
      </c>
      <c r="B1116" s="68">
        <v>9.3</v>
      </c>
      <c r="C1116" s="54"/>
      <c r="D1116" s="54"/>
      <c r="E1116" s="54"/>
      <c r="F1116" s="54"/>
    </row>
    <row r="1117">
      <c r="A1117" s="67">
        <v>40544.0</v>
      </c>
      <c r="B1117" s="68">
        <v>9.1</v>
      </c>
      <c r="C1117" s="54"/>
      <c r="D1117" s="54"/>
      <c r="E1117" s="54"/>
      <c r="F1117" s="54"/>
    </row>
    <row r="1118">
      <c r="A1118" s="67">
        <v>40575.0</v>
      </c>
      <c r="B1118" s="68">
        <v>9.0</v>
      </c>
      <c r="C1118" s="54"/>
      <c r="D1118" s="54"/>
      <c r="E1118" s="54"/>
      <c r="F1118" s="54"/>
    </row>
    <row r="1119">
      <c r="A1119" s="67">
        <v>40603.0</v>
      </c>
      <c r="B1119" s="68">
        <v>9.0</v>
      </c>
      <c r="C1119" s="54"/>
      <c r="D1119" s="54"/>
      <c r="E1119" s="54"/>
      <c r="F1119" s="54"/>
    </row>
    <row r="1120">
      <c r="A1120" s="67">
        <v>40634.0</v>
      </c>
      <c r="B1120" s="68">
        <v>9.1</v>
      </c>
      <c r="C1120" s="54"/>
      <c r="D1120" s="54"/>
      <c r="E1120" s="54"/>
      <c r="F1120" s="54"/>
    </row>
    <row r="1121">
      <c r="A1121" s="67">
        <v>40664.0</v>
      </c>
      <c r="B1121" s="68">
        <v>9.0</v>
      </c>
      <c r="C1121" s="54"/>
      <c r="D1121" s="54"/>
      <c r="E1121" s="54"/>
      <c r="F1121" s="54"/>
    </row>
    <row r="1122">
      <c r="A1122" s="67">
        <v>40695.0</v>
      </c>
      <c r="B1122" s="68">
        <v>9.1</v>
      </c>
      <c r="C1122" s="54"/>
      <c r="D1122" s="54"/>
      <c r="E1122" s="54"/>
      <c r="F1122" s="54"/>
    </row>
    <row r="1123">
      <c r="A1123" s="67">
        <v>40725.0</v>
      </c>
      <c r="B1123" s="68">
        <v>9.0</v>
      </c>
      <c r="C1123" s="54"/>
      <c r="D1123" s="54"/>
      <c r="E1123" s="54"/>
      <c r="F1123" s="54"/>
    </row>
    <row r="1124">
      <c r="A1124" s="67">
        <v>40756.0</v>
      </c>
      <c r="B1124" s="68">
        <v>9.0</v>
      </c>
      <c r="C1124" s="54"/>
      <c r="D1124" s="54"/>
      <c r="E1124" s="54"/>
      <c r="F1124" s="54"/>
    </row>
    <row r="1125">
      <c r="A1125" s="67">
        <v>40787.0</v>
      </c>
      <c r="B1125" s="68">
        <v>9.0</v>
      </c>
      <c r="C1125" s="54"/>
      <c r="D1125" s="54"/>
      <c r="E1125" s="54"/>
      <c r="F1125" s="54"/>
    </row>
    <row r="1126">
      <c r="A1126" s="67">
        <v>40817.0</v>
      </c>
      <c r="B1126" s="68">
        <v>8.8</v>
      </c>
      <c r="C1126" s="54"/>
      <c r="D1126" s="54"/>
      <c r="E1126" s="54"/>
      <c r="F1126" s="54"/>
    </row>
    <row r="1127">
      <c r="A1127" s="67">
        <v>40848.0</v>
      </c>
      <c r="B1127" s="68">
        <v>8.6</v>
      </c>
      <c r="C1127" s="54"/>
      <c r="D1127" s="54"/>
      <c r="E1127" s="54"/>
      <c r="F1127" s="54"/>
    </row>
    <row r="1128">
      <c r="A1128" s="67">
        <v>40878.0</v>
      </c>
      <c r="B1128" s="68">
        <v>8.5</v>
      </c>
      <c r="C1128" s="54"/>
      <c r="D1128" s="54"/>
      <c r="E1128" s="54"/>
      <c r="F1128" s="54"/>
    </row>
    <row r="1129">
      <c r="A1129" s="67">
        <v>40909.0</v>
      </c>
      <c r="B1129" s="68">
        <v>8.3</v>
      </c>
      <c r="C1129" s="54"/>
      <c r="D1129" s="54"/>
      <c r="E1129" s="54"/>
      <c r="F1129" s="54"/>
    </row>
    <row r="1130">
      <c r="A1130" s="67">
        <v>40940.0</v>
      </c>
      <c r="B1130" s="68">
        <v>8.3</v>
      </c>
      <c r="C1130" s="54"/>
      <c r="D1130" s="54"/>
      <c r="E1130" s="54"/>
      <c r="F1130" s="54"/>
    </row>
    <row r="1131">
      <c r="A1131" s="67">
        <v>40969.0</v>
      </c>
      <c r="B1131" s="68">
        <v>8.2</v>
      </c>
      <c r="C1131" s="54"/>
      <c r="D1131" s="54"/>
      <c r="E1131" s="54"/>
      <c r="F1131" s="54"/>
    </row>
    <row r="1132">
      <c r="A1132" s="67">
        <v>41000.0</v>
      </c>
      <c r="B1132" s="68">
        <v>8.2</v>
      </c>
      <c r="C1132" s="54"/>
      <c r="D1132" s="54"/>
      <c r="E1132" s="54"/>
      <c r="F1132" s="54"/>
    </row>
    <row r="1133">
      <c r="A1133" s="67">
        <v>41030.0</v>
      </c>
      <c r="B1133" s="68">
        <v>8.2</v>
      </c>
      <c r="C1133" s="54"/>
      <c r="D1133" s="54"/>
      <c r="E1133" s="54"/>
      <c r="F1133" s="54"/>
    </row>
    <row r="1134">
      <c r="A1134" s="67">
        <v>41061.0</v>
      </c>
      <c r="B1134" s="68">
        <v>8.2</v>
      </c>
      <c r="C1134" s="54"/>
      <c r="D1134" s="54"/>
      <c r="E1134" s="54"/>
      <c r="F1134" s="54"/>
    </row>
    <row r="1135">
      <c r="A1135" s="67">
        <v>41091.0</v>
      </c>
      <c r="B1135" s="68">
        <v>8.2</v>
      </c>
      <c r="C1135" s="54"/>
      <c r="D1135" s="54"/>
      <c r="E1135" s="54"/>
      <c r="F1135" s="54"/>
    </row>
    <row r="1136">
      <c r="A1136" s="67">
        <v>41122.0</v>
      </c>
      <c r="B1136" s="68">
        <v>8.1</v>
      </c>
      <c r="C1136" s="54"/>
      <c r="D1136" s="54"/>
      <c r="E1136" s="54"/>
      <c r="F1136" s="54"/>
    </row>
    <row r="1137">
      <c r="A1137" s="67">
        <v>41153.0</v>
      </c>
      <c r="B1137" s="68">
        <v>7.8</v>
      </c>
      <c r="C1137" s="54"/>
      <c r="D1137" s="54"/>
      <c r="E1137" s="54"/>
      <c r="F1137" s="54"/>
    </row>
    <row r="1138">
      <c r="A1138" s="67">
        <v>41183.0</v>
      </c>
      <c r="B1138" s="68">
        <v>7.8</v>
      </c>
      <c r="C1138" s="54"/>
      <c r="D1138" s="54"/>
      <c r="E1138" s="54"/>
      <c r="F1138" s="54"/>
    </row>
    <row r="1139">
      <c r="A1139" s="67">
        <v>41214.0</v>
      </c>
      <c r="B1139" s="68">
        <v>7.7</v>
      </c>
      <c r="C1139" s="54"/>
      <c r="D1139" s="54"/>
      <c r="E1139" s="54"/>
      <c r="F1139" s="54"/>
    </row>
    <row r="1140">
      <c r="A1140" s="67">
        <v>41244.0</v>
      </c>
      <c r="B1140" s="68">
        <v>7.9</v>
      </c>
      <c r="C1140" s="54"/>
      <c r="D1140" s="54"/>
      <c r="E1140" s="54"/>
      <c r="F1140" s="54"/>
    </row>
    <row r="1141">
      <c r="A1141" s="67">
        <v>41275.0</v>
      </c>
      <c r="B1141" s="68">
        <v>8.0</v>
      </c>
      <c r="C1141" s="54"/>
      <c r="D1141" s="54"/>
      <c r="E1141" s="54"/>
      <c r="F1141" s="54"/>
    </row>
    <row r="1142">
      <c r="A1142" s="67">
        <v>41306.0</v>
      </c>
      <c r="B1142" s="68">
        <v>7.7</v>
      </c>
      <c r="C1142" s="54"/>
      <c r="D1142" s="54"/>
      <c r="E1142" s="54"/>
      <c r="F1142" s="54"/>
    </row>
    <row r="1143">
      <c r="A1143" s="67">
        <v>41334.0</v>
      </c>
      <c r="B1143" s="68">
        <v>7.5</v>
      </c>
      <c r="C1143" s="54"/>
      <c r="D1143" s="54"/>
      <c r="E1143" s="54"/>
      <c r="F1143" s="54"/>
    </row>
    <row r="1144">
      <c r="A1144" s="67">
        <v>41365.0</v>
      </c>
      <c r="B1144" s="68">
        <v>7.6</v>
      </c>
      <c r="C1144" s="54"/>
      <c r="D1144" s="54"/>
      <c r="E1144" s="54"/>
      <c r="F1144" s="54"/>
    </row>
    <row r="1145">
      <c r="A1145" s="67">
        <v>41395.0</v>
      </c>
      <c r="B1145" s="68">
        <v>7.5</v>
      </c>
      <c r="C1145" s="54"/>
      <c r="D1145" s="54"/>
      <c r="E1145" s="54"/>
      <c r="F1145" s="54"/>
    </row>
    <row r="1146">
      <c r="A1146" s="67">
        <v>41426.0</v>
      </c>
      <c r="B1146" s="68">
        <v>7.5</v>
      </c>
      <c r="C1146" s="54"/>
      <c r="D1146" s="54"/>
      <c r="E1146" s="54"/>
      <c r="F1146" s="54"/>
    </row>
    <row r="1147">
      <c r="A1147" s="67">
        <v>41456.0</v>
      </c>
      <c r="B1147" s="68">
        <v>7.3</v>
      </c>
      <c r="C1147" s="54"/>
      <c r="D1147" s="54"/>
      <c r="E1147" s="54"/>
      <c r="F1147" s="54"/>
    </row>
    <row r="1148">
      <c r="A1148" s="67">
        <v>41487.0</v>
      </c>
      <c r="B1148" s="68">
        <v>7.2</v>
      </c>
      <c r="C1148" s="54"/>
      <c r="D1148" s="54"/>
      <c r="E1148" s="54"/>
      <c r="F1148" s="54"/>
    </row>
    <row r="1149">
      <c r="A1149" s="67">
        <v>41518.0</v>
      </c>
      <c r="B1149" s="68">
        <v>7.2</v>
      </c>
      <c r="C1149" s="54"/>
      <c r="D1149" s="54"/>
      <c r="E1149" s="54"/>
      <c r="F1149" s="54"/>
    </row>
    <row r="1150">
      <c r="A1150" s="67">
        <v>41548.0</v>
      </c>
      <c r="B1150" s="68">
        <v>7.2</v>
      </c>
      <c r="C1150" s="54"/>
      <c r="D1150" s="54"/>
      <c r="E1150" s="54"/>
      <c r="F1150" s="54"/>
    </row>
    <row r="1151">
      <c r="A1151" s="67">
        <v>41579.0</v>
      </c>
      <c r="B1151" s="68">
        <v>6.9</v>
      </c>
      <c r="C1151" s="54"/>
      <c r="D1151" s="54"/>
      <c r="E1151" s="54"/>
      <c r="F1151" s="54"/>
    </row>
    <row r="1152">
      <c r="A1152" s="67">
        <v>41609.0</v>
      </c>
      <c r="B1152" s="68">
        <v>6.7</v>
      </c>
      <c r="C1152" s="54"/>
      <c r="D1152" s="54"/>
      <c r="E1152" s="54"/>
      <c r="F1152" s="54"/>
    </row>
    <row r="1153">
      <c r="A1153" s="67">
        <v>41640.0</v>
      </c>
      <c r="B1153" s="68">
        <v>6.6</v>
      </c>
      <c r="C1153" s="54"/>
      <c r="D1153" s="54"/>
      <c r="E1153" s="54"/>
      <c r="F1153" s="54"/>
    </row>
    <row r="1154">
      <c r="A1154" s="67">
        <v>41671.0</v>
      </c>
      <c r="B1154" s="68">
        <v>6.7</v>
      </c>
      <c r="C1154" s="54"/>
      <c r="D1154" s="54"/>
      <c r="E1154" s="54"/>
      <c r="F1154" s="54"/>
    </row>
    <row r="1155">
      <c r="A1155" s="67">
        <v>41699.0</v>
      </c>
      <c r="B1155" s="68">
        <v>6.7</v>
      </c>
      <c r="C1155" s="54"/>
      <c r="D1155" s="54"/>
      <c r="E1155" s="54"/>
      <c r="F1155" s="54"/>
    </row>
    <row r="1156">
      <c r="A1156" s="67">
        <v>41730.0</v>
      </c>
      <c r="B1156" s="68">
        <v>6.2</v>
      </c>
      <c r="C1156" s="54"/>
      <c r="D1156" s="54"/>
      <c r="E1156" s="54"/>
      <c r="F1156" s="54"/>
    </row>
    <row r="1157">
      <c r="A1157" s="67">
        <v>41760.0</v>
      </c>
      <c r="B1157" s="68">
        <v>6.3</v>
      </c>
      <c r="C1157" s="54"/>
      <c r="D1157" s="54"/>
      <c r="E1157" s="54"/>
      <c r="F1157" s="54"/>
    </row>
    <row r="1158">
      <c r="A1158" s="67">
        <v>41791.0</v>
      </c>
      <c r="B1158" s="68">
        <v>6.1</v>
      </c>
      <c r="C1158" s="54"/>
      <c r="D1158" s="54"/>
      <c r="E1158" s="54"/>
      <c r="F1158" s="54"/>
    </row>
    <row r="1159">
      <c r="A1159" s="67">
        <v>41821.0</v>
      </c>
      <c r="B1159" s="68">
        <v>6.2</v>
      </c>
      <c r="C1159" s="54"/>
      <c r="D1159" s="54"/>
      <c r="E1159" s="54"/>
      <c r="F1159" s="54"/>
    </row>
    <row r="1160">
      <c r="A1160" s="67">
        <v>41852.0</v>
      </c>
      <c r="B1160" s="68">
        <v>6.1</v>
      </c>
      <c r="C1160" s="54"/>
      <c r="D1160" s="54"/>
      <c r="E1160" s="54"/>
      <c r="F1160" s="54"/>
    </row>
    <row r="1161">
      <c r="A1161" s="67">
        <v>41883.0</v>
      </c>
      <c r="B1161" s="68">
        <v>5.9</v>
      </c>
      <c r="C1161" s="54"/>
      <c r="D1161" s="54"/>
      <c r="E1161" s="54"/>
      <c r="F1161" s="54"/>
    </row>
    <row r="1162">
      <c r="A1162" s="67">
        <v>41913.0</v>
      </c>
      <c r="B1162" s="68">
        <v>5.7</v>
      </c>
      <c r="C1162" s="54"/>
      <c r="D1162" s="54"/>
      <c r="E1162" s="54"/>
      <c r="F1162" s="54"/>
    </row>
    <row r="1163">
      <c r="A1163" s="67">
        <v>41944.0</v>
      </c>
      <c r="B1163" s="68">
        <v>5.8</v>
      </c>
      <c r="C1163" s="54"/>
      <c r="D1163" s="54"/>
      <c r="E1163" s="54"/>
      <c r="F1163" s="54"/>
    </row>
    <row r="1164">
      <c r="A1164" s="67">
        <v>41974.0</v>
      </c>
      <c r="B1164" s="68">
        <v>5.6</v>
      </c>
      <c r="C1164" s="54"/>
      <c r="D1164" s="54"/>
      <c r="E1164" s="54"/>
      <c r="F1164" s="54"/>
    </row>
    <row r="1165">
      <c r="A1165" s="67">
        <v>42005.0</v>
      </c>
      <c r="B1165" s="68">
        <v>5.7</v>
      </c>
      <c r="C1165" s="54"/>
      <c r="D1165" s="54"/>
      <c r="E1165" s="54"/>
      <c r="F1165" s="54"/>
    </row>
    <row r="1166">
      <c r="A1166" s="67">
        <v>42036.0</v>
      </c>
      <c r="B1166" s="68">
        <v>5.5</v>
      </c>
      <c r="C1166" s="54"/>
      <c r="D1166" s="54"/>
      <c r="E1166" s="54"/>
      <c r="F1166" s="54"/>
    </row>
    <row r="1167">
      <c r="A1167" s="67">
        <v>42064.0</v>
      </c>
      <c r="B1167" s="68">
        <v>5.4</v>
      </c>
      <c r="C1167" s="54"/>
      <c r="D1167" s="54"/>
      <c r="E1167" s="54"/>
      <c r="F1167" s="54"/>
    </row>
    <row r="1168">
      <c r="A1168" s="67">
        <v>42095.0</v>
      </c>
      <c r="B1168" s="68">
        <v>5.4</v>
      </c>
      <c r="C1168" s="54"/>
      <c r="D1168" s="54"/>
      <c r="E1168" s="54"/>
      <c r="F1168" s="54"/>
    </row>
    <row r="1169">
      <c r="A1169" s="67">
        <v>42125.0</v>
      </c>
      <c r="B1169" s="68">
        <v>5.6</v>
      </c>
      <c r="C1169" s="54"/>
      <c r="D1169" s="54"/>
      <c r="E1169" s="54"/>
      <c r="F1169" s="54"/>
    </row>
    <row r="1170">
      <c r="A1170" s="67">
        <v>42156.0</v>
      </c>
      <c r="B1170" s="68">
        <v>5.3</v>
      </c>
      <c r="C1170" s="54"/>
      <c r="D1170" s="54"/>
      <c r="E1170" s="54"/>
      <c r="F1170" s="54"/>
    </row>
    <row r="1171">
      <c r="A1171" s="67">
        <v>42186.0</v>
      </c>
      <c r="B1171" s="68">
        <v>5.2</v>
      </c>
      <c r="C1171" s="54"/>
      <c r="D1171" s="54"/>
      <c r="E1171" s="54"/>
      <c r="F1171" s="54"/>
    </row>
    <row r="1172">
      <c r="A1172" s="67">
        <v>42217.0</v>
      </c>
      <c r="B1172" s="68">
        <v>5.1</v>
      </c>
      <c r="C1172" s="54"/>
      <c r="D1172" s="54"/>
      <c r="E1172" s="54"/>
      <c r="F1172" s="54"/>
    </row>
    <row r="1173">
      <c r="A1173" s="67">
        <v>42248.0</v>
      </c>
      <c r="B1173" s="68">
        <v>5.0</v>
      </c>
      <c r="C1173" s="54"/>
      <c r="D1173" s="54"/>
      <c r="E1173" s="54"/>
      <c r="F1173" s="54"/>
    </row>
    <row r="1174">
      <c r="A1174" s="67">
        <v>42278.0</v>
      </c>
      <c r="B1174" s="68">
        <v>5.0</v>
      </c>
      <c r="C1174" s="54"/>
      <c r="D1174" s="54"/>
      <c r="E1174" s="54"/>
      <c r="F1174" s="54"/>
    </row>
    <row r="1175">
      <c r="A1175" s="67">
        <v>42309.0</v>
      </c>
      <c r="B1175" s="68">
        <v>5.1</v>
      </c>
      <c r="C1175" s="54"/>
      <c r="D1175" s="54"/>
      <c r="E1175" s="54"/>
      <c r="F1175" s="54"/>
    </row>
    <row r="1176">
      <c r="A1176" s="67">
        <v>42339.0</v>
      </c>
      <c r="B1176" s="68">
        <v>5.0</v>
      </c>
      <c r="C1176" s="54"/>
      <c r="D1176" s="54"/>
      <c r="E1176" s="54"/>
      <c r="F1176" s="54"/>
    </row>
    <row r="1177">
      <c r="A1177" s="67">
        <v>42370.0</v>
      </c>
      <c r="B1177" s="68">
        <v>4.8</v>
      </c>
      <c r="C1177" s="54"/>
      <c r="D1177" s="54"/>
      <c r="E1177" s="54"/>
      <c r="F1177" s="54"/>
    </row>
    <row r="1178">
      <c r="A1178" s="67">
        <v>42401.0</v>
      </c>
      <c r="B1178" s="68">
        <v>4.9</v>
      </c>
      <c r="C1178" s="54"/>
      <c r="D1178" s="54"/>
      <c r="E1178" s="54"/>
      <c r="F1178" s="54"/>
    </row>
    <row r="1179">
      <c r="A1179" s="67">
        <v>42430.0</v>
      </c>
      <c r="B1179" s="68">
        <v>5.0</v>
      </c>
      <c r="C1179" s="54"/>
      <c r="D1179" s="54"/>
      <c r="E1179" s="54"/>
      <c r="F1179" s="54"/>
    </row>
    <row r="1180">
      <c r="A1180" s="67">
        <v>42461.0</v>
      </c>
      <c r="B1180" s="68">
        <v>5.1</v>
      </c>
      <c r="C1180" s="54"/>
      <c r="D1180" s="54"/>
      <c r="E1180" s="54"/>
      <c r="F1180" s="54"/>
    </row>
    <row r="1181">
      <c r="A1181" s="67">
        <v>42491.0</v>
      </c>
      <c r="B1181" s="68">
        <v>4.8</v>
      </c>
      <c r="C1181" s="54"/>
      <c r="D1181" s="54"/>
      <c r="E1181" s="54"/>
      <c r="F1181" s="54"/>
    </row>
    <row r="1182">
      <c r="A1182" s="67">
        <v>42522.0</v>
      </c>
      <c r="B1182" s="68">
        <v>4.9</v>
      </c>
      <c r="C1182" s="54"/>
      <c r="D1182" s="54"/>
      <c r="E1182" s="54"/>
      <c r="F1182" s="54"/>
    </row>
    <row r="1183">
      <c r="A1183" s="67">
        <v>42552.0</v>
      </c>
      <c r="B1183" s="68">
        <v>4.8</v>
      </c>
      <c r="C1183" s="54"/>
      <c r="D1183" s="54"/>
      <c r="E1183" s="54"/>
      <c r="F1183" s="54"/>
    </row>
    <row r="1184">
      <c r="A1184" s="67">
        <v>42583.0</v>
      </c>
      <c r="B1184" s="68">
        <v>4.9</v>
      </c>
      <c r="C1184" s="54"/>
      <c r="D1184" s="54"/>
      <c r="E1184" s="54"/>
      <c r="F1184" s="54"/>
    </row>
    <row r="1185">
      <c r="A1185" s="67">
        <v>42614.0</v>
      </c>
      <c r="B1185" s="68">
        <v>5.0</v>
      </c>
      <c r="C1185" s="54"/>
      <c r="D1185" s="54"/>
      <c r="E1185" s="54"/>
      <c r="F1185" s="54"/>
    </row>
    <row r="1186">
      <c r="A1186" s="67">
        <v>42644.0</v>
      </c>
      <c r="B1186" s="68">
        <v>4.9</v>
      </c>
      <c r="C1186" s="54"/>
      <c r="D1186" s="54"/>
      <c r="E1186" s="54"/>
      <c r="F1186" s="54"/>
    </row>
    <row r="1187">
      <c r="A1187" s="67">
        <v>42675.0</v>
      </c>
      <c r="B1187" s="68">
        <v>4.7</v>
      </c>
      <c r="C1187" s="54"/>
      <c r="D1187" s="54"/>
      <c r="E1187" s="54"/>
      <c r="F1187" s="54"/>
    </row>
    <row r="1188">
      <c r="A1188" s="67">
        <v>42705.0</v>
      </c>
      <c r="B1188" s="68">
        <v>4.7</v>
      </c>
      <c r="C1188" s="54"/>
      <c r="D1188" s="54"/>
      <c r="E1188" s="54"/>
      <c r="F1188" s="54"/>
    </row>
    <row r="1189">
      <c r="A1189" s="67">
        <v>42736.0</v>
      </c>
      <c r="B1189" s="68">
        <v>4.7</v>
      </c>
      <c r="C1189" s="54"/>
      <c r="D1189" s="54"/>
      <c r="E1189" s="54"/>
      <c r="F1189" s="54"/>
    </row>
    <row r="1190">
      <c r="A1190" s="67">
        <v>42767.0</v>
      </c>
      <c r="B1190" s="68">
        <v>4.6</v>
      </c>
      <c r="C1190" s="54"/>
      <c r="D1190" s="54"/>
      <c r="E1190" s="54"/>
      <c r="F1190" s="54"/>
    </row>
    <row r="1191">
      <c r="A1191" s="67">
        <v>42795.0</v>
      </c>
      <c r="B1191" s="68">
        <v>4.4</v>
      </c>
      <c r="C1191" s="54"/>
      <c r="D1191" s="54"/>
      <c r="E1191" s="54"/>
      <c r="F1191" s="54"/>
    </row>
    <row r="1192">
      <c r="A1192" s="67">
        <v>42826.0</v>
      </c>
      <c r="B1192" s="68">
        <v>4.4</v>
      </c>
      <c r="C1192" s="54"/>
      <c r="D1192" s="54"/>
      <c r="E1192" s="54"/>
      <c r="F1192" s="54"/>
    </row>
    <row r="1193">
      <c r="A1193" s="67">
        <v>42856.0</v>
      </c>
      <c r="B1193" s="68">
        <v>4.4</v>
      </c>
      <c r="C1193" s="54"/>
      <c r="D1193" s="54"/>
      <c r="E1193" s="54"/>
      <c r="F1193" s="54"/>
    </row>
    <row r="1194">
      <c r="A1194" s="67">
        <v>42887.0</v>
      </c>
      <c r="B1194" s="68">
        <v>4.3</v>
      </c>
      <c r="C1194" s="54"/>
      <c r="D1194" s="54"/>
      <c r="E1194" s="54"/>
      <c r="F1194" s="54"/>
    </row>
    <row r="1195">
      <c r="A1195" s="67">
        <v>42917.0</v>
      </c>
      <c r="B1195" s="68">
        <v>4.3</v>
      </c>
      <c r="C1195" s="54"/>
      <c r="D1195" s="54"/>
      <c r="E1195" s="54"/>
      <c r="F1195" s="54"/>
    </row>
    <row r="1196">
      <c r="A1196" s="67">
        <v>42948.0</v>
      </c>
      <c r="B1196" s="68">
        <v>4.4</v>
      </c>
      <c r="C1196" s="54"/>
      <c r="D1196" s="54"/>
      <c r="E1196" s="54"/>
      <c r="F1196" s="54"/>
    </row>
    <row r="1197">
      <c r="A1197" s="67">
        <v>42979.0</v>
      </c>
      <c r="B1197" s="68">
        <v>4.3</v>
      </c>
      <c r="C1197" s="54"/>
      <c r="D1197" s="54"/>
      <c r="E1197" s="54"/>
      <c r="F1197" s="54"/>
    </row>
    <row r="1198">
      <c r="A1198" s="67">
        <v>43009.0</v>
      </c>
      <c r="B1198" s="68">
        <v>4.2</v>
      </c>
      <c r="C1198" s="54"/>
      <c r="D1198" s="54"/>
      <c r="E1198" s="54"/>
      <c r="F1198" s="54"/>
    </row>
    <row r="1199">
      <c r="A1199" s="67">
        <v>43040.0</v>
      </c>
      <c r="B1199" s="68">
        <v>4.2</v>
      </c>
      <c r="C1199" s="54"/>
      <c r="D1199" s="54"/>
      <c r="E1199" s="54"/>
      <c r="F1199" s="54"/>
    </row>
    <row r="1200">
      <c r="A1200" s="67">
        <v>43070.0</v>
      </c>
      <c r="B1200" s="68">
        <v>4.1</v>
      </c>
      <c r="C1200" s="54"/>
      <c r="D1200" s="54"/>
      <c r="E1200" s="54"/>
      <c r="F1200" s="54"/>
    </row>
    <row r="1201">
      <c r="A1201" s="67">
        <v>43101.0</v>
      </c>
      <c r="B1201" s="68">
        <v>4.0</v>
      </c>
      <c r="C1201" s="54"/>
      <c r="D1201" s="54"/>
      <c r="E1201" s="54"/>
      <c r="F1201" s="54"/>
    </row>
    <row r="1202">
      <c r="A1202" s="67">
        <v>43132.0</v>
      </c>
      <c r="B1202" s="68">
        <v>4.1</v>
      </c>
      <c r="C1202" s="54"/>
      <c r="D1202" s="54"/>
      <c r="E1202" s="54"/>
      <c r="F1202" s="54"/>
    </row>
    <row r="1203">
      <c r="A1203" s="67">
        <v>43160.0</v>
      </c>
      <c r="B1203" s="68">
        <v>4.0</v>
      </c>
      <c r="C1203" s="54"/>
      <c r="D1203" s="54"/>
      <c r="E1203" s="54"/>
      <c r="F1203" s="54"/>
    </row>
    <row r="1204">
      <c r="A1204" s="67">
        <v>43191.0</v>
      </c>
      <c r="B1204" s="68">
        <v>4.0</v>
      </c>
      <c r="C1204" s="54"/>
      <c r="D1204" s="54"/>
      <c r="E1204" s="54"/>
      <c r="F1204" s="54"/>
    </row>
    <row r="1205">
      <c r="A1205" s="67">
        <v>43221.0</v>
      </c>
      <c r="B1205" s="68">
        <v>3.8</v>
      </c>
      <c r="C1205" s="54"/>
      <c r="D1205" s="54"/>
      <c r="E1205" s="54"/>
      <c r="F1205" s="54"/>
    </row>
    <row r="1206">
      <c r="A1206" s="67">
        <v>43252.0</v>
      </c>
      <c r="B1206" s="68">
        <v>4.0</v>
      </c>
      <c r="C1206" s="54"/>
      <c r="D1206" s="54"/>
      <c r="E1206" s="54"/>
      <c r="F1206" s="54"/>
    </row>
    <row r="1207">
      <c r="A1207" s="67">
        <v>43282.0</v>
      </c>
      <c r="B1207" s="68">
        <v>3.8</v>
      </c>
      <c r="C1207" s="54"/>
      <c r="D1207" s="54"/>
      <c r="E1207" s="54"/>
      <c r="F1207" s="54"/>
    </row>
    <row r="1208">
      <c r="A1208" s="67">
        <v>43313.0</v>
      </c>
      <c r="B1208" s="68">
        <v>3.8</v>
      </c>
      <c r="C1208" s="54"/>
      <c r="D1208" s="54"/>
      <c r="E1208" s="54"/>
      <c r="F1208" s="54"/>
    </row>
    <row r="1209">
      <c r="A1209" s="67">
        <v>43344.0</v>
      </c>
      <c r="B1209" s="68">
        <v>3.7</v>
      </c>
      <c r="C1209" s="54"/>
      <c r="D1209" s="54"/>
      <c r="E1209" s="54"/>
      <c r="F1209" s="54"/>
    </row>
    <row r="1210">
      <c r="A1210" s="67">
        <v>43374.0</v>
      </c>
      <c r="B1210" s="68">
        <v>3.8</v>
      </c>
      <c r="C1210" s="54"/>
      <c r="D1210" s="54"/>
      <c r="E1210" s="54"/>
      <c r="F1210" s="54"/>
    </row>
    <row r="1211">
      <c r="A1211" s="67">
        <v>43405.0</v>
      </c>
      <c r="B1211" s="68">
        <v>3.8</v>
      </c>
      <c r="C1211" s="54"/>
      <c r="D1211" s="54"/>
      <c r="E1211" s="54"/>
      <c r="F1211" s="54"/>
    </row>
    <row r="1212">
      <c r="A1212" s="67">
        <v>43435.0</v>
      </c>
      <c r="B1212" s="68">
        <v>3.9</v>
      </c>
      <c r="C1212" s="54"/>
      <c r="D1212" s="54"/>
      <c r="E1212" s="54"/>
      <c r="F1212" s="54"/>
    </row>
    <row r="1213">
      <c r="A1213" s="67">
        <v>43466.0</v>
      </c>
      <c r="B1213" s="68">
        <v>4.0</v>
      </c>
      <c r="C1213" s="54"/>
      <c r="D1213" s="54"/>
      <c r="E1213" s="54"/>
      <c r="F1213" s="54"/>
    </row>
    <row r="1214">
      <c r="A1214" s="67">
        <v>43497.0</v>
      </c>
      <c r="B1214" s="68">
        <v>3.8</v>
      </c>
      <c r="C1214" s="54"/>
      <c r="D1214" s="54"/>
      <c r="E1214" s="54"/>
      <c r="F1214" s="54"/>
    </row>
    <row r="1215">
      <c r="A1215" s="67">
        <v>43525.0</v>
      </c>
      <c r="B1215" s="68">
        <v>3.8</v>
      </c>
      <c r="C1215" s="54"/>
      <c r="D1215" s="54"/>
      <c r="E1215" s="54"/>
      <c r="F1215" s="54"/>
    </row>
    <row r="1216">
      <c r="A1216" s="67">
        <v>43556.0</v>
      </c>
      <c r="B1216" s="68">
        <v>3.7</v>
      </c>
      <c r="C1216" s="54"/>
      <c r="D1216" s="54"/>
      <c r="E1216" s="54"/>
      <c r="F1216" s="54"/>
    </row>
    <row r="1217">
      <c r="A1217" s="67">
        <v>43586.0</v>
      </c>
      <c r="B1217" s="68">
        <v>3.6</v>
      </c>
      <c r="C1217" s="54"/>
      <c r="D1217" s="54"/>
      <c r="E1217" s="54"/>
      <c r="F1217" s="54"/>
    </row>
    <row r="1218">
      <c r="A1218" s="67">
        <v>43617.0</v>
      </c>
      <c r="B1218" s="68">
        <v>3.6</v>
      </c>
      <c r="C1218" s="54"/>
      <c r="D1218" s="54"/>
      <c r="E1218" s="54"/>
      <c r="F1218" s="54"/>
    </row>
    <row r="1219">
      <c r="A1219" s="67">
        <v>43647.0</v>
      </c>
      <c r="B1219" s="68">
        <v>3.7</v>
      </c>
      <c r="C1219" s="54"/>
      <c r="D1219" s="54"/>
      <c r="E1219" s="54"/>
      <c r="F1219" s="54"/>
    </row>
    <row r="1220">
      <c r="A1220" s="67">
        <v>43678.0</v>
      </c>
      <c r="B1220" s="68">
        <v>3.6</v>
      </c>
      <c r="C1220" s="54"/>
      <c r="D1220" s="54"/>
      <c r="E1220" s="54"/>
      <c r="F1220" s="54"/>
    </row>
    <row r="1221">
      <c r="A1221" s="67">
        <v>43709.0</v>
      </c>
      <c r="B1221" s="68">
        <v>3.5</v>
      </c>
      <c r="C1221" s="54"/>
      <c r="D1221" s="54"/>
      <c r="E1221" s="54"/>
      <c r="F1221" s="54"/>
    </row>
    <row r="1222">
      <c r="A1222" s="67">
        <v>43739.0</v>
      </c>
      <c r="B1222" s="68">
        <v>3.6</v>
      </c>
      <c r="C1222" s="54"/>
      <c r="D1222" s="54"/>
      <c r="E1222" s="54"/>
      <c r="F1222" s="54"/>
    </row>
    <row r="1223">
      <c r="A1223" s="67">
        <v>43770.0</v>
      </c>
      <c r="B1223" s="68">
        <v>3.6</v>
      </c>
      <c r="C1223" s="54"/>
      <c r="D1223" s="54"/>
      <c r="E1223" s="54"/>
      <c r="F1223" s="54"/>
    </row>
    <row r="1224">
      <c r="A1224" s="67">
        <v>43800.0</v>
      </c>
      <c r="B1224" s="68">
        <v>3.6</v>
      </c>
      <c r="C1224" s="54"/>
      <c r="D1224" s="54"/>
      <c r="E1224" s="54"/>
      <c r="F1224" s="54"/>
    </row>
    <row r="1225">
      <c r="A1225" s="67">
        <v>43831.0</v>
      </c>
      <c r="B1225" s="68">
        <v>3.6</v>
      </c>
      <c r="C1225" s="54"/>
      <c r="D1225" s="54"/>
      <c r="E1225" s="54"/>
      <c r="F1225" s="54"/>
    </row>
    <row r="1226">
      <c r="A1226" s="67">
        <v>43862.0</v>
      </c>
      <c r="B1226" s="68">
        <v>3.5</v>
      </c>
      <c r="C1226" s="54"/>
      <c r="D1226" s="54"/>
      <c r="E1226" s="54"/>
      <c r="F1226" s="54"/>
    </row>
    <row r="1227">
      <c r="A1227" s="67">
        <v>43891.0</v>
      </c>
      <c r="B1227" s="68">
        <v>4.4</v>
      </c>
      <c r="C1227" s="54"/>
      <c r="D1227" s="54"/>
      <c r="E1227" s="54"/>
      <c r="F1227" s="54"/>
    </row>
    <row r="1228">
      <c r="A1228" s="67">
        <v>43922.0</v>
      </c>
      <c r="B1228" s="68">
        <v>14.8</v>
      </c>
      <c r="C1228" s="54"/>
      <c r="D1228" s="54"/>
      <c r="E1228" s="54"/>
      <c r="F1228" s="54"/>
    </row>
    <row r="1229">
      <c r="A1229" s="67">
        <v>43952.0</v>
      </c>
      <c r="B1229" s="68">
        <v>13.2</v>
      </c>
      <c r="C1229" s="54"/>
      <c r="D1229" s="54"/>
      <c r="E1229" s="54"/>
      <c r="F1229" s="54"/>
    </row>
    <row r="1230">
      <c r="A1230" s="67">
        <v>43983.0</v>
      </c>
      <c r="B1230" s="68">
        <v>11.0</v>
      </c>
      <c r="C1230" s="54"/>
      <c r="D1230" s="54"/>
      <c r="E1230" s="54"/>
      <c r="F1230" s="54"/>
    </row>
    <row r="1231">
      <c r="A1231" s="67">
        <v>44013.0</v>
      </c>
      <c r="B1231" s="68">
        <v>10.2</v>
      </c>
      <c r="C1231" s="54"/>
      <c r="D1231" s="54"/>
      <c r="E1231" s="54"/>
      <c r="F1231" s="54"/>
    </row>
    <row r="1232">
      <c r="A1232" s="67">
        <v>44044.0</v>
      </c>
      <c r="B1232" s="68">
        <v>8.4</v>
      </c>
      <c r="C1232" s="54"/>
      <c r="D1232" s="54"/>
      <c r="E1232" s="54"/>
      <c r="F1232" s="54"/>
    </row>
    <row r="1233">
      <c r="A1233" s="67">
        <v>44075.0</v>
      </c>
      <c r="B1233" s="68">
        <v>7.8</v>
      </c>
      <c r="C1233" s="54"/>
      <c r="D1233" s="54"/>
      <c r="E1233" s="54"/>
      <c r="F1233" s="54"/>
    </row>
    <row r="1234">
      <c r="A1234" s="67">
        <v>44105.0</v>
      </c>
      <c r="B1234" s="68">
        <v>6.9</v>
      </c>
      <c r="C1234" s="54"/>
      <c r="D1234" s="54"/>
      <c r="E1234" s="54"/>
      <c r="F1234" s="54"/>
    </row>
    <row r="1235">
      <c r="A1235" s="67">
        <v>44136.0</v>
      </c>
      <c r="B1235" s="68">
        <v>6.7</v>
      </c>
      <c r="C1235" s="54"/>
      <c r="D1235" s="54"/>
      <c r="E1235" s="54"/>
      <c r="F1235" s="54"/>
    </row>
    <row r="1236">
      <c r="A1236" s="67">
        <v>44166.0</v>
      </c>
      <c r="B1236" s="68">
        <v>6.7</v>
      </c>
      <c r="C1236" s="54"/>
      <c r="D1236" s="54"/>
      <c r="E1236" s="54"/>
      <c r="F1236" s="54"/>
    </row>
    <row r="1237">
      <c r="A1237" s="67">
        <v>44197.0</v>
      </c>
      <c r="B1237" s="68">
        <v>6.4</v>
      </c>
      <c r="C1237" s="54"/>
      <c r="D1237" s="54"/>
      <c r="E1237" s="54"/>
      <c r="F1237" s="54"/>
    </row>
    <row r="1238">
      <c r="A1238" s="67">
        <v>44228.0</v>
      </c>
      <c r="B1238" s="68">
        <v>6.2</v>
      </c>
      <c r="C1238" s="54"/>
      <c r="D1238" s="54"/>
      <c r="E1238" s="54"/>
      <c r="F1238" s="54"/>
    </row>
    <row r="1239">
      <c r="A1239" s="67">
        <v>44256.0</v>
      </c>
      <c r="B1239" s="68">
        <v>6.1</v>
      </c>
      <c r="C1239" s="54"/>
      <c r="D1239" s="54"/>
      <c r="E1239" s="54"/>
      <c r="F1239" s="54"/>
    </row>
    <row r="1240">
      <c r="A1240" s="67">
        <v>44287.0</v>
      </c>
      <c r="B1240" s="68">
        <v>6.1</v>
      </c>
      <c r="C1240" s="54"/>
      <c r="D1240" s="54"/>
      <c r="E1240" s="54"/>
      <c r="F1240" s="54"/>
    </row>
    <row r="1241">
      <c r="A1241" s="67">
        <v>44317.0</v>
      </c>
      <c r="B1241" s="68">
        <v>5.8</v>
      </c>
      <c r="C1241" s="54"/>
      <c r="D1241" s="54"/>
      <c r="E1241" s="54"/>
      <c r="F1241" s="54"/>
    </row>
    <row r="1242">
      <c r="A1242" s="67">
        <v>44348.0</v>
      </c>
      <c r="B1242" s="68">
        <v>5.9</v>
      </c>
      <c r="C1242" s="54"/>
      <c r="D1242" s="54"/>
      <c r="E1242" s="54"/>
      <c r="F1242" s="54"/>
    </row>
    <row r="1243">
      <c r="A1243" s="67">
        <v>44378.0</v>
      </c>
      <c r="B1243" s="68">
        <v>5.4</v>
      </c>
      <c r="C1243" s="54"/>
      <c r="D1243" s="54"/>
      <c r="E1243" s="54"/>
      <c r="F1243" s="54"/>
    </row>
    <row r="1244">
      <c r="A1244" s="67">
        <v>44409.0</v>
      </c>
      <c r="B1244" s="68">
        <v>5.1</v>
      </c>
      <c r="C1244" s="54"/>
      <c r="D1244" s="54"/>
      <c r="E1244" s="54"/>
      <c r="F1244" s="54"/>
    </row>
    <row r="1245">
      <c r="A1245" s="67">
        <v>44440.0</v>
      </c>
      <c r="B1245" s="68">
        <v>4.7</v>
      </c>
      <c r="C1245" s="54"/>
      <c r="D1245" s="54"/>
      <c r="E1245" s="54"/>
      <c r="F1245" s="54"/>
    </row>
    <row r="1246">
      <c r="A1246" s="67">
        <v>44470.0</v>
      </c>
      <c r="B1246" s="68">
        <v>4.5</v>
      </c>
      <c r="C1246" s="54"/>
      <c r="D1246" s="54"/>
      <c r="E1246" s="54"/>
      <c r="F1246" s="54"/>
    </row>
    <row r="1247">
      <c r="A1247" s="67">
        <v>44501.0</v>
      </c>
      <c r="B1247" s="68">
        <v>4.1</v>
      </c>
      <c r="C1247" s="54"/>
      <c r="D1247" s="54"/>
      <c r="E1247" s="54"/>
      <c r="F1247" s="54"/>
    </row>
    <row r="1248">
      <c r="A1248" s="67">
        <v>44531.0</v>
      </c>
      <c r="B1248" s="68">
        <v>3.9</v>
      </c>
      <c r="C1248" s="54"/>
      <c r="D1248" s="54"/>
      <c r="E1248" s="54"/>
      <c r="F1248" s="54"/>
    </row>
    <row r="1249">
      <c r="A1249" s="67">
        <v>44562.0</v>
      </c>
      <c r="B1249" s="68">
        <v>4.0</v>
      </c>
      <c r="C1249" s="54"/>
      <c r="D1249" s="54"/>
      <c r="E1249" s="54"/>
      <c r="F1249" s="54"/>
    </row>
    <row r="1250">
      <c r="A1250" s="67">
        <v>44593.0</v>
      </c>
      <c r="B1250" s="68">
        <v>3.9</v>
      </c>
      <c r="C1250" s="54"/>
      <c r="D1250" s="54"/>
      <c r="E1250" s="54"/>
      <c r="F1250" s="54"/>
    </row>
    <row r="1251">
      <c r="A1251" s="67">
        <v>44621.0</v>
      </c>
      <c r="B1251" s="68">
        <v>3.7</v>
      </c>
      <c r="C1251" s="54"/>
      <c r="D1251" s="54"/>
      <c r="E1251" s="54"/>
      <c r="F1251" s="54"/>
    </row>
    <row r="1252">
      <c r="A1252" s="67">
        <v>44652.0</v>
      </c>
      <c r="B1252" s="68">
        <v>3.7</v>
      </c>
      <c r="C1252" s="54"/>
      <c r="D1252" s="54"/>
      <c r="E1252" s="54"/>
      <c r="F1252" s="54"/>
    </row>
    <row r="1253">
      <c r="A1253" s="67">
        <v>44682.0</v>
      </c>
      <c r="B1253" s="68">
        <v>3.6</v>
      </c>
      <c r="C1253" s="54"/>
      <c r="D1253" s="54"/>
      <c r="E1253" s="54"/>
      <c r="F1253" s="54"/>
    </row>
    <row r="1254">
      <c r="A1254" s="67">
        <v>44713.0</v>
      </c>
      <c r="B1254" s="68">
        <v>3.6</v>
      </c>
      <c r="C1254" s="54"/>
      <c r="D1254" s="54"/>
      <c r="E1254" s="54"/>
      <c r="F1254" s="54"/>
    </row>
    <row r="1255">
      <c r="A1255" s="67">
        <v>44743.0</v>
      </c>
      <c r="B1255" s="68">
        <v>3.5</v>
      </c>
      <c r="C1255" s="54"/>
      <c r="D1255" s="54"/>
      <c r="E1255" s="54"/>
      <c r="F1255" s="54"/>
    </row>
    <row r="1256">
      <c r="A1256" s="67">
        <v>44774.0</v>
      </c>
      <c r="B1256" s="68">
        <v>3.6</v>
      </c>
      <c r="C1256" s="54"/>
      <c r="D1256" s="54"/>
      <c r="E1256" s="54"/>
      <c r="F1256" s="54"/>
    </row>
    <row r="1257">
      <c r="A1257" s="67">
        <v>44805.0</v>
      </c>
      <c r="B1257" s="68">
        <v>3.5</v>
      </c>
      <c r="C1257" s="54"/>
      <c r="D1257" s="54"/>
      <c r="E1257" s="54"/>
      <c r="F1257" s="54"/>
    </row>
    <row r="1258">
      <c r="A1258" s="67">
        <v>44835.0</v>
      </c>
      <c r="B1258" s="68">
        <v>3.6</v>
      </c>
      <c r="C1258" s="54"/>
      <c r="D1258" s="54"/>
      <c r="E1258" s="54"/>
      <c r="F1258" s="54"/>
    </row>
    <row r="1259">
      <c r="A1259" s="67">
        <v>44866.0</v>
      </c>
      <c r="B1259" s="68">
        <v>3.6</v>
      </c>
      <c r="C1259" s="54"/>
      <c r="D1259" s="54"/>
      <c r="E1259" s="54"/>
      <c r="F1259" s="54"/>
    </row>
    <row r="1260">
      <c r="A1260" s="67">
        <v>44896.0</v>
      </c>
      <c r="B1260" s="68">
        <v>3.5</v>
      </c>
      <c r="C1260" s="54"/>
      <c r="D1260" s="54"/>
      <c r="E1260" s="54"/>
      <c r="F1260" s="54"/>
    </row>
    <row r="1261">
      <c r="A1261" s="67">
        <v>44927.0</v>
      </c>
      <c r="B1261" s="68">
        <v>3.5</v>
      </c>
      <c r="C1261" s="54"/>
      <c r="D1261" s="54"/>
      <c r="E1261" s="54"/>
      <c r="F1261" s="54"/>
    </row>
    <row r="1262">
      <c r="A1262" s="67">
        <v>44958.0</v>
      </c>
      <c r="B1262" s="68">
        <v>3.6</v>
      </c>
      <c r="C1262" s="54"/>
      <c r="D1262" s="54"/>
      <c r="E1262" s="54"/>
      <c r="F1262" s="54"/>
    </row>
    <row r="1263">
      <c r="A1263" s="67">
        <v>44986.0</v>
      </c>
      <c r="B1263" s="68">
        <v>3.5</v>
      </c>
      <c r="C1263" s="54"/>
      <c r="D1263" s="54"/>
      <c r="E1263" s="54"/>
      <c r="F1263" s="54"/>
    </row>
    <row r="1264">
      <c r="A1264" s="67">
        <v>45017.0</v>
      </c>
      <c r="B1264" s="68">
        <v>3.4</v>
      </c>
      <c r="C1264" s="54"/>
      <c r="D1264" s="54"/>
      <c r="E1264" s="54"/>
      <c r="F1264" s="54"/>
    </row>
    <row r="1265">
      <c r="A1265" s="67">
        <v>45047.0</v>
      </c>
      <c r="B1265" s="68">
        <v>3.6</v>
      </c>
      <c r="C1265" s="54"/>
      <c r="D1265" s="54"/>
      <c r="E1265" s="54"/>
      <c r="F1265" s="54"/>
    </row>
    <row r="1266">
      <c r="A1266" s="67">
        <v>45078.0</v>
      </c>
      <c r="B1266" s="68">
        <v>3.6</v>
      </c>
      <c r="C1266" s="54"/>
      <c r="D1266" s="54"/>
      <c r="E1266" s="54"/>
      <c r="F1266" s="54"/>
    </row>
    <row r="1267">
      <c r="A1267" s="67">
        <v>45108.0</v>
      </c>
      <c r="B1267" s="68">
        <v>3.5</v>
      </c>
      <c r="C1267" s="54"/>
      <c r="D1267" s="54"/>
      <c r="E1267" s="54"/>
      <c r="F1267" s="54"/>
    </row>
    <row r="1268">
      <c r="A1268" s="67">
        <v>45139.0</v>
      </c>
      <c r="B1268" s="68">
        <v>3.7</v>
      </c>
      <c r="C1268" s="54"/>
      <c r="D1268" s="54"/>
      <c r="E1268" s="54"/>
      <c r="F1268" s="54"/>
    </row>
    <row r="1269">
      <c r="A1269" s="67">
        <v>45170.0</v>
      </c>
      <c r="B1269" s="68">
        <v>3.7</v>
      </c>
      <c r="C1269" s="54"/>
      <c r="D1269" s="54"/>
      <c r="E1269" s="54"/>
      <c r="F1269" s="54"/>
    </row>
    <row r="1270">
      <c r="A1270" s="67">
        <v>45200.0</v>
      </c>
      <c r="B1270" s="68">
        <v>3.9</v>
      </c>
      <c r="C1270" s="54"/>
      <c r="D1270" s="54"/>
      <c r="E1270" s="54"/>
      <c r="F1270" s="54"/>
    </row>
    <row r="1271">
      <c r="A1271" s="67">
        <v>45231.0</v>
      </c>
      <c r="B1271" s="68">
        <v>3.7</v>
      </c>
      <c r="C1271" s="54"/>
      <c r="D1271" s="54"/>
      <c r="E1271" s="54"/>
      <c r="F1271" s="54"/>
    </row>
    <row r="1272">
      <c r="A1272" s="67">
        <v>45261.0</v>
      </c>
      <c r="B1272" s="68">
        <v>3.8</v>
      </c>
      <c r="C1272" s="54"/>
      <c r="D1272" s="54"/>
      <c r="E1272" s="54"/>
      <c r="F1272" s="54"/>
    </row>
    <row r="1273">
      <c r="A1273" s="67">
        <v>45292.0</v>
      </c>
      <c r="B1273" s="68">
        <v>3.7</v>
      </c>
      <c r="C1273" s="54"/>
      <c r="D1273" s="54"/>
      <c r="E1273" s="54"/>
      <c r="F1273" s="54"/>
    </row>
    <row r="1274">
      <c r="A1274" s="67">
        <v>45323.0</v>
      </c>
      <c r="B1274" s="68">
        <v>3.9</v>
      </c>
      <c r="C1274" s="54"/>
      <c r="D1274" s="54"/>
      <c r="E1274" s="54"/>
      <c r="F1274" s="54"/>
    </row>
    <row r="1275">
      <c r="A1275" s="67">
        <v>45352.0</v>
      </c>
      <c r="B1275" s="68">
        <v>3.9</v>
      </c>
      <c r="C1275" s="54"/>
      <c r="D1275" s="54"/>
      <c r="E1275" s="54"/>
      <c r="F1275" s="54"/>
    </row>
    <row r="1276">
      <c r="A1276" s="67">
        <v>45383.0</v>
      </c>
      <c r="B1276" s="68">
        <v>3.9</v>
      </c>
      <c r="C1276" s="54"/>
      <c r="D1276" s="54"/>
      <c r="E1276" s="54"/>
      <c r="F1276" s="54"/>
    </row>
    <row r="1277">
      <c r="A1277" s="67">
        <v>45413.0</v>
      </c>
      <c r="B1277" s="68">
        <v>3.9</v>
      </c>
      <c r="C1277" s="54"/>
      <c r="D1277" s="54"/>
      <c r="E1277" s="54"/>
      <c r="F1277" s="54"/>
    </row>
    <row r="1278">
      <c r="A1278" s="67">
        <v>45444.0</v>
      </c>
      <c r="B1278" s="68">
        <v>4.1</v>
      </c>
      <c r="C1278" s="54"/>
      <c r="D1278" s="54"/>
      <c r="E1278" s="54"/>
      <c r="F1278" s="54"/>
    </row>
    <row r="1279">
      <c r="A1279" s="67">
        <v>45474.0</v>
      </c>
      <c r="B1279" s="68">
        <v>4.2</v>
      </c>
      <c r="C1279" s="54"/>
      <c r="D1279" s="54"/>
      <c r="E1279" s="54"/>
      <c r="F1279" s="54"/>
    </row>
    <row r="1280">
      <c r="A1280" s="67">
        <v>45505.0</v>
      </c>
      <c r="B1280" s="68">
        <v>4.2</v>
      </c>
      <c r="C1280" s="54"/>
      <c r="D1280" s="54"/>
      <c r="E1280" s="54"/>
      <c r="F1280" s="54"/>
    </row>
    <row r="1281">
      <c r="A1281" s="67">
        <v>45536.0</v>
      </c>
      <c r="B1281" s="68">
        <v>4.1</v>
      </c>
      <c r="C1281" s="54"/>
      <c r="D1281" s="54"/>
      <c r="E1281" s="54"/>
      <c r="F1281" s="54"/>
    </row>
    <row r="1282">
      <c r="A1282" s="67">
        <v>45566.0</v>
      </c>
      <c r="B1282" s="68">
        <v>4.1</v>
      </c>
      <c r="C1282" s="54"/>
      <c r="D1282" s="54"/>
      <c r="E1282" s="54"/>
      <c r="F1282" s="54"/>
    </row>
    <row r="1283">
      <c r="A1283" s="67">
        <v>45597.0</v>
      </c>
      <c r="B1283" s="68">
        <v>4.2</v>
      </c>
      <c r="C1283" s="54"/>
      <c r="D1283" s="54"/>
      <c r="E1283" s="54"/>
      <c r="F1283" s="54"/>
    </row>
    <row r="1284">
      <c r="A1284" s="67">
        <v>45627.0</v>
      </c>
      <c r="B1284" s="68">
        <v>4.1</v>
      </c>
      <c r="C1284" s="54"/>
      <c r="D1284" s="54"/>
      <c r="E1284" s="54"/>
      <c r="F1284" s="54"/>
    </row>
    <row r="1285">
      <c r="A1285" s="67">
        <v>45658.0</v>
      </c>
      <c r="B1285" s="68">
        <v>4.0</v>
      </c>
      <c r="C1285" s="54"/>
      <c r="D1285" s="54"/>
      <c r="E1285" s="54"/>
      <c r="F1285" s="54"/>
    </row>
    <row r="1286">
      <c r="A1286" s="67">
        <v>45689.0</v>
      </c>
      <c r="B1286" s="68">
        <v>4.2</v>
      </c>
      <c r="C1286" s="54"/>
      <c r="D1286" s="54"/>
      <c r="E1286" s="54"/>
      <c r="F1286" s="54"/>
    </row>
    <row r="1287">
      <c r="A1287" s="67">
        <v>45717.0</v>
      </c>
      <c r="B1287" s="68">
        <v>4.2</v>
      </c>
      <c r="C1287" s="54"/>
      <c r="D1287" s="54"/>
      <c r="E1287" s="54"/>
      <c r="F1287" s="54"/>
    </row>
    <row r="1288">
      <c r="A1288" s="67">
        <v>45748.0</v>
      </c>
      <c r="B1288" s="68">
        <v>4.2</v>
      </c>
      <c r="C1288" s="54"/>
      <c r="D1288" s="54"/>
      <c r="E1288" s="54"/>
      <c r="F1288" s="54"/>
    </row>
    <row r="1289">
      <c r="A1289" s="67">
        <v>45778.0</v>
      </c>
      <c r="B1289" s="68">
        <v>4.3</v>
      </c>
      <c r="C1289" s="54"/>
      <c r="D1289" s="54"/>
      <c r="E1289" s="54"/>
      <c r="F1289" s="54"/>
    </row>
    <row r="1290">
      <c r="A1290" s="67">
        <v>45809.0</v>
      </c>
      <c r="B1290" s="68">
        <v>4.1</v>
      </c>
      <c r="C1290" s="54"/>
      <c r="D1290" s="54"/>
      <c r="E1290" s="54"/>
      <c r="F1290" s="54"/>
    </row>
    <row r="1291">
      <c r="A1291" s="67">
        <v>45839.0</v>
      </c>
      <c r="B1291" s="68">
        <v>4.3</v>
      </c>
      <c r="C1291" s="54"/>
      <c r="D1291" s="54"/>
      <c r="E1291" s="54"/>
      <c r="F1291" s="54"/>
    </row>
    <row r="1292">
      <c r="A1292" s="67">
        <v>45870.0</v>
      </c>
      <c r="B1292" s="68">
        <v>4.3</v>
      </c>
      <c r="C1292" s="54"/>
      <c r="D1292" s="54"/>
      <c r="E1292" s="54"/>
      <c r="F1292" s="54"/>
    </row>
    <row r="1293">
      <c r="A1293" s="67">
        <v>45901.0</v>
      </c>
      <c r="B1293" s="68">
        <v>4.4</v>
      </c>
      <c r="C1293" s="54"/>
      <c r="D1293" s="54"/>
      <c r="E1293" s="54"/>
      <c r="F1293" s="54"/>
    </row>
    <row r="1294">
      <c r="A1294" s="67">
        <v>45931.0</v>
      </c>
      <c r="B1294" s="54"/>
      <c r="C1294" s="54"/>
      <c r="D1294" s="54"/>
      <c r="E1294" s="54"/>
      <c r="F1294" s="54"/>
    </row>
    <row r="1295">
      <c r="A1295" s="67">
        <v>45962.0</v>
      </c>
      <c r="B1295" s="68">
        <v>4.5</v>
      </c>
      <c r="C1295" s="54"/>
      <c r="D1295" s="54"/>
      <c r="E1295" s="54"/>
      <c r="F1295" s="54"/>
    </row>
    <row r="1296">
      <c r="A1296" s="67">
        <v>45992.0</v>
      </c>
      <c r="B1296" s="68">
        <v>4.4</v>
      </c>
      <c r="C1296" s="54"/>
      <c r="D1296" s="54"/>
      <c r="E1296" s="54"/>
      <c r="F1296" s="54"/>
    </row>
  </sheetData>
  <mergeCells count="6">
    <mergeCell ref="A107:CY107"/>
    <mergeCell ref="A108:CY108"/>
    <mergeCell ref="A109:CY109"/>
    <mergeCell ref="A110:CY110"/>
    <mergeCell ref="A141:CZ141"/>
    <mergeCell ref="A142:CZ142"/>
  </mergeCells>
  <conditionalFormatting sqref="C6:C101">
    <cfRule type="cellIs" dxfId="0" priority="1" operator="greaterThan">
      <formula>0</formula>
    </cfRule>
  </conditionalFormatting>
  <conditionalFormatting sqref="C6:C101">
    <cfRule type="cellIs" dxfId="1" priority="2" operator="lessThan">
      <formula>0</formula>
    </cfRule>
  </conditionalFormatting>
  <conditionalFormatting sqref="E6:E101">
    <cfRule type="cellIs" dxfId="0" priority="3" operator="greaterThan">
      <formula>0</formula>
    </cfRule>
  </conditionalFormatting>
  <conditionalFormatting sqref="E6:E101">
    <cfRule type="cellIs" dxfId="2" priority="4" operator="lessThan">
      <formula>0</formula>
    </cfRule>
  </conditionalFormatting>
  <conditionalFormatting sqref="G6:G101">
    <cfRule type="cellIs" dxfId="0" priority="5" operator="greaterThan">
      <formula>0</formula>
    </cfRule>
  </conditionalFormatting>
  <conditionalFormatting sqref="G6:G101">
    <cfRule type="cellIs" dxfId="1" priority="6" operator="lessThan">
      <formula>0</formula>
    </cfRule>
  </conditionalFormatting>
  <conditionalFormatting sqref="I6:I101">
    <cfRule type="cellIs" dxfId="2" priority="7" operator="greaterThan">
      <formula>0</formula>
    </cfRule>
  </conditionalFormatting>
  <conditionalFormatting sqref="I6:I101">
    <cfRule type="cellIs" dxfId="0" priority="8" operator="lessThan">
      <formula>0</formula>
    </cfRule>
  </conditionalFormatting>
  <conditionalFormatting sqref="K40:K99">
    <cfRule type="cellIs" dxfId="2" priority="9" operator="greaterThan">
      <formula>0</formula>
    </cfRule>
  </conditionalFormatting>
  <conditionalFormatting sqref="K40:K99">
    <cfRule type="cellIs" dxfId="0" priority="10" operator="lessThanOrEqual">
      <formula>0</formula>
    </cfRule>
  </conditionalFormatting>
  <conditionalFormatting sqref="M5:M101 O6:O101">
    <cfRule type="cellIs" dxfId="0" priority="11" operator="greaterThan">
      <formula>0</formula>
    </cfRule>
  </conditionalFormatting>
  <conditionalFormatting sqref="M5:M101 O6:O101">
    <cfRule type="cellIs" dxfId="1" priority="12" operator="lessThan">
      <formula>0</formula>
    </cfRule>
  </conditionalFormatting>
  <hyperlinks>
    <hyperlink r:id="rId1" ref="L1"/>
    <hyperlink r:id="rId2" ref="B2"/>
    <hyperlink r:id="rId3" ref="D2"/>
    <hyperlink r:id="rId4" ref="H2"/>
    <hyperlink r:id="rId5" ref="J2"/>
    <hyperlink r:id="rId6" ref="N2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32</v>
      </c>
    </row>
    <row r="2">
      <c r="A2" s="58" t="s">
        <v>33</v>
      </c>
    </row>
    <row r="3">
      <c r="A3" s="70" t="s">
        <v>34</v>
      </c>
    </row>
    <row r="4">
      <c r="A4" s="58" t="s">
        <v>35</v>
      </c>
    </row>
    <row r="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</row>
    <row r="6">
      <c r="A6" s="71" t="s">
        <v>36</v>
      </c>
      <c r="B6" s="72"/>
      <c r="C6" s="71"/>
      <c r="D6" s="71">
        <v>1929.0</v>
      </c>
      <c r="E6" s="71"/>
      <c r="F6" s="71">
        <v>1930.0</v>
      </c>
      <c r="G6" s="71"/>
      <c r="H6" s="71">
        <v>1931.0</v>
      </c>
      <c r="I6" s="71"/>
      <c r="J6" s="71">
        <v>1932.0</v>
      </c>
      <c r="K6" s="71">
        <v>1933.0</v>
      </c>
      <c r="L6" s="71">
        <v>1934.0</v>
      </c>
      <c r="M6" s="71">
        <v>1935.0</v>
      </c>
      <c r="N6" s="71">
        <v>1936.0</v>
      </c>
      <c r="O6" s="71">
        <v>1937.0</v>
      </c>
      <c r="P6" s="71">
        <v>1938.0</v>
      </c>
      <c r="Q6" s="71">
        <v>1939.0</v>
      </c>
      <c r="R6" s="71">
        <v>1940.0</v>
      </c>
      <c r="S6" s="71">
        <v>1941.0</v>
      </c>
      <c r="T6" s="71">
        <v>1942.0</v>
      </c>
      <c r="U6" s="71">
        <v>1943.0</v>
      </c>
      <c r="V6" s="71">
        <v>1944.0</v>
      </c>
      <c r="W6" s="71">
        <v>1945.0</v>
      </c>
      <c r="X6" s="71">
        <v>1946.0</v>
      </c>
      <c r="Y6" s="71">
        <v>1947.0</v>
      </c>
      <c r="Z6" s="71">
        <v>1948.0</v>
      </c>
      <c r="AA6" s="71">
        <v>1949.0</v>
      </c>
      <c r="AB6" s="71">
        <v>1950.0</v>
      </c>
      <c r="AC6" s="71">
        <v>1951.0</v>
      </c>
      <c r="AD6" s="71">
        <v>1952.0</v>
      </c>
      <c r="AE6" s="71">
        <v>1953.0</v>
      </c>
      <c r="AF6" s="71">
        <v>1954.0</v>
      </c>
      <c r="AG6" s="71">
        <v>1955.0</v>
      </c>
      <c r="AH6" s="71">
        <v>1956.0</v>
      </c>
      <c r="AI6" s="71">
        <v>1957.0</v>
      </c>
      <c r="AJ6" s="71">
        <v>1958.0</v>
      </c>
      <c r="AK6" s="71">
        <v>1959.0</v>
      </c>
      <c r="AL6" s="71">
        <v>1960.0</v>
      </c>
      <c r="AM6" s="71">
        <v>1961.0</v>
      </c>
      <c r="AN6" s="71">
        <v>1962.0</v>
      </c>
      <c r="AO6" s="71">
        <v>1963.0</v>
      </c>
      <c r="AP6" s="71">
        <v>1964.0</v>
      </c>
      <c r="AQ6" s="71">
        <v>1965.0</v>
      </c>
      <c r="AR6" s="71">
        <v>1966.0</v>
      </c>
      <c r="AS6" s="71">
        <v>1967.0</v>
      </c>
      <c r="AT6" s="71">
        <v>1968.0</v>
      </c>
      <c r="AU6" s="71">
        <v>1969.0</v>
      </c>
      <c r="AV6" s="71">
        <v>1970.0</v>
      </c>
      <c r="AW6" s="71">
        <v>1971.0</v>
      </c>
      <c r="AX6" s="71">
        <v>1972.0</v>
      </c>
      <c r="AY6" s="71">
        <v>1973.0</v>
      </c>
      <c r="AZ6" s="71">
        <v>1974.0</v>
      </c>
      <c r="BA6" s="71">
        <v>1975.0</v>
      </c>
      <c r="BB6" s="71">
        <v>1976.0</v>
      </c>
      <c r="BC6" s="71">
        <v>1977.0</v>
      </c>
      <c r="BD6" s="71">
        <v>1978.0</v>
      </c>
      <c r="BE6" s="71">
        <v>1979.0</v>
      </c>
      <c r="BF6" s="71">
        <v>1980.0</v>
      </c>
      <c r="BG6" s="71">
        <v>1981.0</v>
      </c>
      <c r="BH6" s="71">
        <v>1982.0</v>
      </c>
      <c r="BI6" s="71">
        <v>1983.0</v>
      </c>
      <c r="BJ6" s="71">
        <v>1984.0</v>
      </c>
      <c r="BK6" s="71">
        <v>1985.0</v>
      </c>
      <c r="BL6" s="71">
        <v>1986.0</v>
      </c>
      <c r="BM6" s="71">
        <v>1987.0</v>
      </c>
      <c r="BN6" s="71">
        <v>1988.0</v>
      </c>
      <c r="BO6" s="71">
        <v>1989.0</v>
      </c>
      <c r="BP6" s="71">
        <v>1990.0</v>
      </c>
      <c r="BQ6" s="71">
        <v>1991.0</v>
      </c>
      <c r="BR6" s="71">
        <v>1992.0</v>
      </c>
      <c r="BS6" s="71">
        <v>1993.0</v>
      </c>
      <c r="BT6" s="71">
        <v>1994.0</v>
      </c>
      <c r="BU6" s="71">
        <v>1995.0</v>
      </c>
      <c r="BV6" s="71">
        <v>1996.0</v>
      </c>
      <c r="BW6" s="71">
        <v>1997.0</v>
      </c>
      <c r="BX6" s="71">
        <v>1998.0</v>
      </c>
      <c r="BY6" s="71">
        <v>1999.0</v>
      </c>
      <c r="BZ6" s="71">
        <v>2000.0</v>
      </c>
      <c r="CA6" s="71">
        <v>2001.0</v>
      </c>
      <c r="CB6" s="71">
        <v>2002.0</v>
      </c>
      <c r="CC6" s="71">
        <v>2003.0</v>
      </c>
      <c r="CD6" s="71">
        <v>2004.0</v>
      </c>
      <c r="CE6" s="71">
        <v>2005.0</v>
      </c>
      <c r="CF6" s="71">
        <v>2006.0</v>
      </c>
      <c r="CG6" s="71">
        <v>2007.0</v>
      </c>
      <c r="CH6" s="71">
        <v>2008.0</v>
      </c>
      <c r="CI6" s="71">
        <v>2009.0</v>
      </c>
      <c r="CJ6" s="71">
        <v>2010.0</v>
      </c>
      <c r="CK6" s="71">
        <v>2011.0</v>
      </c>
      <c r="CL6" s="71">
        <v>2012.0</v>
      </c>
      <c r="CM6" s="71">
        <v>2013.0</v>
      </c>
      <c r="CN6" s="71">
        <v>2014.0</v>
      </c>
      <c r="CO6" s="71">
        <v>2015.0</v>
      </c>
      <c r="CP6" s="71">
        <v>2016.0</v>
      </c>
      <c r="CQ6" s="71">
        <v>2017.0</v>
      </c>
      <c r="CR6" s="71">
        <v>2018.0</v>
      </c>
      <c r="CS6" s="71">
        <v>2019.0</v>
      </c>
      <c r="CT6" s="71">
        <v>2020.0</v>
      </c>
      <c r="CU6" s="71">
        <v>2021.0</v>
      </c>
      <c r="CV6" s="71">
        <v>2022.0</v>
      </c>
      <c r="CW6" s="71">
        <v>2023.0</v>
      </c>
      <c r="CX6" s="71">
        <v>2024.0</v>
      </c>
      <c r="CY6" s="71">
        <v>2025.0</v>
      </c>
    </row>
    <row r="7">
      <c r="A7" s="58" t="s">
        <v>36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</row>
    <row r="8">
      <c r="A8" s="58">
        <v>1.0</v>
      </c>
      <c r="B8" s="56" t="s">
        <v>37</v>
      </c>
      <c r="C8" s="62"/>
      <c r="D8" s="62">
        <v>1191.0</v>
      </c>
      <c r="E8" s="62"/>
      <c r="F8" s="62">
        <v>1090.0</v>
      </c>
      <c r="G8" s="62"/>
      <c r="H8" s="62">
        <v>1020.0</v>
      </c>
      <c r="I8" s="62"/>
      <c r="J8" s="62">
        <v>888.0</v>
      </c>
      <c r="K8" s="62">
        <v>877.0</v>
      </c>
      <c r="L8" s="62">
        <v>972.0</v>
      </c>
      <c r="M8" s="62">
        <v>1059.0</v>
      </c>
      <c r="N8" s="62">
        <v>1195.0</v>
      </c>
      <c r="O8" s="62">
        <v>1257.0</v>
      </c>
      <c r="P8" s="62">
        <v>1215.0</v>
      </c>
      <c r="Q8" s="62">
        <v>1312.0</v>
      </c>
      <c r="R8" s="62">
        <v>1428.0</v>
      </c>
      <c r="S8" s="62">
        <v>1681.0</v>
      </c>
      <c r="T8" s="62">
        <v>1999.0</v>
      </c>
      <c r="U8" s="62">
        <v>2338.8</v>
      </c>
      <c r="V8" s="62">
        <v>2524.8</v>
      </c>
      <c r="W8" s="62">
        <v>2500.0</v>
      </c>
      <c r="X8" s="62">
        <v>2210.0</v>
      </c>
      <c r="Y8" s="62">
        <v>2184.6</v>
      </c>
      <c r="Z8" s="62">
        <v>2274.6</v>
      </c>
      <c r="AA8" s="62">
        <v>2262.0</v>
      </c>
      <c r="AB8" s="62">
        <v>2459.0</v>
      </c>
      <c r="AC8" s="62">
        <v>2656.0</v>
      </c>
      <c r="AD8" s="62">
        <v>2764.8</v>
      </c>
      <c r="AE8" s="62">
        <v>2894.4</v>
      </c>
      <c r="AF8" s="62">
        <v>2878.0</v>
      </c>
      <c r="AG8" s="62">
        <v>3083.0</v>
      </c>
      <c r="AH8" s="62">
        <v>3148.8</v>
      </c>
      <c r="AI8" s="62">
        <v>3215.0</v>
      </c>
      <c r="AJ8" s="62">
        <v>3191.0</v>
      </c>
      <c r="AK8" s="62">
        <v>3412.4</v>
      </c>
      <c r="AL8" s="62">
        <v>3500.0</v>
      </c>
      <c r="AM8" s="62">
        <v>3590.0</v>
      </c>
      <c r="AN8" s="62">
        <v>3810.0</v>
      </c>
      <c r="AO8" s="62">
        <v>3976.1</v>
      </c>
      <c r="AP8" s="62">
        <v>4205.3</v>
      </c>
      <c r="AQ8" s="62">
        <v>4478.6</v>
      </c>
      <c r="AR8" s="62">
        <v>4773.9</v>
      </c>
      <c r="AS8" s="62">
        <v>4904.9</v>
      </c>
      <c r="AT8" s="62">
        <v>5145.9</v>
      </c>
      <c r="AU8" s="62">
        <v>5307.0</v>
      </c>
      <c r="AV8" s="62">
        <v>5316.4</v>
      </c>
      <c r="AW8" s="62">
        <v>5491.4</v>
      </c>
      <c r="AX8" s="62">
        <v>5780.0</v>
      </c>
      <c r="AY8" s="62">
        <v>6106.4</v>
      </c>
      <c r="AZ8" s="62">
        <v>6073.4</v>
      </c>
      <c r="BA8" s="62">
        <v>6061.0</v>
      </c>
      <c r="BB8" s="62">
        <v>6387.4</v>
      </c>
      <c r="BC8" s="62">
        <v>6682.8</v>
      </c>
      <c r="BD8" s="62">
        <v>7052.7</v>
      </c>
      <c r="BE8" s="62">
        <v>7276.0</v>
      </c>
      <c r="BF8" s="62">
        <v>7257.3</v>
      </c>
      <c r="BG8" s="62">
        <v>7441.5</v>
      </c>
      <c r="BH8" s="62">
        <v>7307.3</v>
      </c>
      <c r="BI8" s="62">
        <v>7642.3</v>
      </c>
      <c r="BJ8" s="62">
        <v>8195.3</v>
      </c>
      <c r="BK8" s="62">
        <v>8537.0</v>
      </c>
      <c r="BL8" s="62">
        <v>8832.6</v>
      </c>
      <c r="BM8" s="62">
        <v>9137.7</v>
      </c>
      <c r="BN8" s="62">
        <v>9519.4</v>
      </c>
      <c r="BO8" s="62">
        <v>9869.0</v>
      </c>
      <c r="BP8" s="62">
        <v>10055.1</v>
      </c>
      <c r="BQ8" s="62">
        <v>10044.2</v>
      </c>
      <c r="BR8" s="62">
        <v>10398.0</v>
      </c>
      <c r="BS8" s="62">
        <v>10684.2</v>
      </c>
      <c r="BT8" s="62">
        <v>11114.6</v>
      </c>
      <c r="BU8" s="62">
        <v>11413.0</v>
      </c>
      <c r="BV8" s="62">
        <v>11843.6</v>
      </c>
      <c r="BW8" s="62">
        <v>12370.3</v>
      </c>
      <c r="BX8" s="62">
        <v>12924.9</v>
      </c>
      <c r="BY8" s="62">
        <v>13543.8</v>
      </c>
      <c r="BZ8" s="62">
        <v>14096.0</v>
      </c>
      <c r="CA8" s="62">
        <v>14230.7</v>
      </c>
      <c r="CB8" s="62">
        <v>14472.7</v>
      </c>
      <c r="CC8" s="62">
        <v>14877.3</v>
      </c>
      <c r="CD8" s="62">
        <v>15449.8</v>
      </c>
      <c r="CE8" s="62">
        <v>15988.0</v>
      </c>
      <c r="CF8" s="62">
        <v>16433.1</v>
      </c>
      <c r="CG8" s="62">
        <v>16762.4</v>
      </c>
      <c r="CH8" s="62">
        <v>16781.5</v>
      </c>
      <c r="CI8" s="62">
        <v>16349.1</v>
      </c>
      <c r="CJ8" s="62">
        <v>16789.8</v>
      </c>
      <c r="CK8" s="62">
        <v>17052.4</v>
      </c>
      <c r="CL8" s="62">
        <v>17442.8</v>
      </c>
      <c r="CM8" s="62">
        <v>17812.2</v>
      </c>
      <c r="CN8" s="62">
        <v>18261.7</v>
      </c>
      <c r="CO8" s="62">
        <v>18799.6</v>
      </c>
      <c r="CP8" s="62">
        <v>19141.7</v>
      </c>
      <c r="CQ8" s="62">
        <v>19612.1</v>
      </c>
      <c r="CR8" s="62">
        <v>20193.9</v>
      </c>
      <c r="CS8" s="62">
        <v>20715.7</v>
      </c>
      <c r="CT8" s="62">
        <v>20284.5</v>
      </c>
      <c r="CU8" s="62">
        <v>21532.4</v>
      </c>
      <c r="CV8" s="62">
        <v>22075.9</v>
      </c>
      <c r="CW8" s="62">
        <v>22723.7</v>
      </c>
      <c r="CX8" s="62">
        <v>23358.4</v>
      </c>
      <c r="CY8" s="62">
        <v>23853.0</v>
      </c>
    </row>
    <row r="9">
      <c r="A9" s="58">
        <v>2.0</v>
      </c>
      <c r="B9" s="56" t="s">
        <v>38</v>
      </c>
      <c r="C9" s="62"/>
      <c r="D9" s="62">
        <v>880.6</v>
      </c>
      <c r="E9" s="62"/>
      <c r="F9" s="62">
        <v>833.5</v>
      </c>
      <c r="G9" s="62"/>
      <c r="H9" s="62">
        <v>807.0</v>
      </c>
      <c r="I9" s="62"/>
      <c r="J9" s="62">
        <v>735.0</v>
      </c>
      <c r="K9" s="62">
        <v>719.0</v>
      </c>
      <c r="L9" s="62">
        <v>770.0</v>
      </c>
      <c r="M9" s="62">
        <v>817.0</v>
      </c>
      <c r="N9" s="62">
        <v>900.2</v>
      </c>
      <c r="O9" s="62">
        <v>933.5</v>
      </c>
      <c r="P9" s="62">
        <v>918.5</v>
      </c>
      <c r="Q9" s="62">
        <v>969.9</v>
      </c>
      <c r="R9" s="62">
        <v>1020.0</v>
      </c>
      <c r="S9" s="62">
        <v>1092.0</v>
      </c>
      <c r="T9" s="62">
        <v>1066.0</v>
      </c>
      <c r="U9" s="62">
        <v>1096.1</v>
      </c>
      <c r="V9" s="62">
        <v>1127.2</v>
      </c>
      <c r="W9" s="62">
        <v>1197.0</v>
      </c>
      <c r="X9" s="62">
        <v>1345.0</v>
      </c>
      <c r="Y9" s="62">
        <v>1370.6</v>
      </c>
      <c r="Z9" s="62">
        <v>1401.6</v>
      </c>
      <c r="AA9" s="62">
        <v>1441.0</v>
      </c>
      <c r="AB9" s="62">
        <v>1533.0</v>
      </c>
      <c r="AC9" s="62">
        <v>1557.0</v>
      </c>
      <c r="AD9" s="62">
        <v>1606.2</v>
      </c>
      <c r="AE9" s="62">
        <v>1682.4</v>
      </c>
      <c r="AF9" s="62">
        <v>1718.0</v>
      </c>
      <c r="AG9" s="62">
        <v>1844.0</v>
      </c>
      <c r="AH9" s="62">
        <v>1898.2</v>
      </c>
      <c r="AI9" s="62">
        <v>1945.0</v>
      </c>
      <c r="AJ9" s="62">
        <v>1962.0</v>
      </c>
      <c r="AK9" s="62">
        <v>2074.0</v>
      </c>
      <c r="AL9" s="62">
        <v>2131.0</v>
      </c>
      <c r="AM9" s="62">
        <v>2175.0</v>
      </c>
      <c r="AN9" s="62">
        <v>2282.0</v>
      </c>
      <c r="AO9" s="62">
        <v>2376.4</v>
      </c>
      <c r="AP9" s="62">
        <v>2517.8</v>
      </c>
      <c r="AQ9" s="62">
        <v>2677.5</v>
      </c>
      <c r="AR9" s="62">
        <v>2829.3</v>
      </c>
      <c r="AS9" s="62">
        <v>2913.9</v>
      </c>
      <c r="AT9" s="62">
        <v>3081.8</v>
      </c>
      <c r="AU9" s="62">
        <v>3197.0</v>
      </c>
      <c r="AV9" s="62">
        <v>3272.0</v>
      </c>
      <c r="AW9" s="62">
        <v>3396.9</v>
      </c>
      <c r="AX9" s="62">
        <v>3605.0</v>
      </c>
      <c r="AY9" s="62">
        <v>3783.4</v>
      </c>
      <c r="AZ9" s="62">
        <v>3751.7</v>
      </c>
      <c r="BA9" s="62">
        <v>3837.0</v>
      </c>
      <c r="BB9" s="62">
        <v>4050.6</v>
      </c>
      <c r="BC9" s="62">
        <v>4221.8</v>
      </c>
      <c r="BD9" s="62">
        <v>4406.5</v>
      </c>
      <c r="BE9" s="62">
        <v>4511.3</v>
      </c>
      <c r="BF9" s="62">
        <v>4497.2</v>
      </c>
      <c r="BG9" s="62">
        <v>4559.6</v>
      </c>
      <c r="BH9" s="62">
        <v>4626.3</v>
      </c>
      <c r="BI9" s="62">
        <v>4888.2</v>
      </c>
      <c r="BJ9" s="62">
        <v>5145.4</v>
      </c>
      <c r="BK9" s="62">
        <v>5411.8</v>
      </c>
      <c r="BL9" s="62">
        <v>5635.2</v>
      </c>
      <c r="BM9" s="62">
        <v>5826.1</v>
      </c>
      <c r="BN9" s="62">
        <v>6069.4</v>
      </c>
      <c r="BO9" s="62">
        <v>6246.4</v>
      </c>
      <c r="BP9" s="62">
        <v>6372.2</v>
      </c>
      <c r="BQ9" s="62">
        <v>6383.7</v>
      </c>
      <c r="BR9" s="62">
        <v>6618.6</v>
      </c>
      <c r="BS9" s="62">
        <v>6849.2</v>
      </c>
      <c r="BT9" s="62">
        <v>7114.5</v>
      </c>
      <c r="BU9" s="62">
        <v>7324.5</v>
      </c>
      <c r="BV9" s="62">
        <v>7578.6</v>
      </c>
      <c r="BW9" s="62">
        <v>7864.0</v>
      </c>
      <c r="BX9" s="62">
        <v>8281.7</v>
      </c>
      <c r="BY9" s="62">
        <v>8727.3</v>
      </c>
      <c r="BZ9" s="62">
        <v>9166.9</v>
      </c>
      <c r="CA9" s="62">
        <v>9393.9</v>
      </c>
      <c r="CB9" s="62">
        <v>9632.8</v>
      </c>
      <c r="CC9" s="62">
        <v>9937.6</v>
      </c>
      <c r="CD9" s="62">
        <v>10312.2</v>
      </c>
      <c r="CE9" s="62">
        <v>10677.4</v>
      </c>
      <c r="CF9" s="62">
        <v>10986.8</v>
      </c>
      <c r="CG9" s="62">
        <v>11253.9</v>
      </c>
      <c r="CH9" s="62">
        <v>11270.7</v>
      </c>
      <c r="CI9" s="62">
        <v>11123.6</v>
      </c>
      <c r="CJ9" s="62">
        <v>11335.6</v>
      </c>
      <c r="CK9" s="62">
        <v>11528.5</v>
      </c>
      <c r="CL9" s="62">
        <v>11686.1</v>
      </c>
      <c r="CM9" s="62">
        <v>11889.9</v>
      </c>
      <c r="CN9" s="62">
        <v>12226.4</v>
      </c>
      <c r="CO9" s="62">
        <v>12638.8</v>
      </c>
      <c r="CP9" s="62">
        <v>12949.0</v>
      </c>
      <c r="CQ9" s="62">
        <v>13290.6</v>
      </c>
      <c r="CR9" s="62">
        <v>13654.9</v>
      </c>
      <c r="CS9" s="62">
        <v>13948.1</v>
      </c>
      <c r="CT9" s="62">
        <v>13596.9</v>
      </c>
      <c r="CU9" s="62">
        <v>14792.4</v>
      </c>
      <c r="CV9" s="62">
        <v>15236.8</v>
      </c>
      <c r="CW9" s="62">
        <v>15627.8</v>
      </c>
      <c r="CX9" s="62">
        <v>16088.5</v>
      </c>
      <c r="CY9" s="62">
        <v>16511.1</v>
      </c>
    </row>
    <row r="10">
      <c r="A10" s="58">
        <v>3.0</v>
      </c>
      <c r="B10" s="58" t="s">
        <v>39</v>
      </c>
      <c r="C10" s="58"/>
      <c r="D10" s="58" t="s">
        <v>40</v>
      </c>
      <c r="E10" s="58"/>
      <c r="F10" s="58" t="s">
        <v>40</v>
      </c>
      <c r="G10" s="58"/>
      <c r="H10" s="58" t="s">
        <v>40</v>
      </c>
      <c r="I10" s="58"/>
      <c r="J10" s="58" t="s">
        <v>40</v>
      </c>
      <c r="K10" s="58" t="s">
        <v>40</v>
      </c>
      <c r="L10" s="58" t="s">
        <v>40</v>
      </c>
      <c r="M10" s="58" t="s">
        <v>40</v>
      </c>
      <c r="N10" s="58" t="s">
        <v>40</v>
      </c>
      <c r="O10" s="58" t="s">
        <v>40</v>
      </c>
      <c r="P10" s="58" t="s">
        <v>40</v>
      </c>
      <c r="Q10" s="58" t="s">
        <v>40</v>
      </c>
      <c r="R10" s="58" t="s">
        <v>40</v>
      </c>
      <c r="S10" s="58" t="s">
        <v>40</v>
      </c>
      <c r="T10" s="58" t="s">
        <v>40</v>
      </c>
      <c r="U10" s="58" t="s">
        <v>40</v>
      </c>
      <c r="V10" s="58" t="s">
        <v>40</v>
      </c>
      <c r="W10" s="58" t="s">
        <v>40</v>
      </c>
      <c r="X10" s="58" t="s">
        <v>40</v>
      </c>
      <c r="Y10" s="58" t="s">
        <v>40</v>
      </c>
      <c r="Z10" s="58" t="s">
        <v>40</v>
      </c>
      <c r="AA10" s="58" t="s">
        <v>40</v>
      </c>
      <c r="AB10" s="58" t="s">
        <v>40</v>
      </c>
      <c r="AC10" s="58" t="s">
        <v>40</v>
      </c>
      <c r="AD10" s="58" t="s">
        <v>40</v>
      </c>
      <c r="AE10" s="58" t="s">
        <v>40</v>
      </c>
      <c r="AF10" s="58" t="s">
        <v>40</v>
      </c>
      <c r="AG10" s="58" t="s">
        <v>40</v>
      </c>
      <c r="AH10" s="58" t="s">
        <v>40</v>
      </c>
      <c r="AI10" s="58" t="s">
        <v>40</v>
      </c>
      <c r="AJ10" s="58" t="s">
        <v>40</v>
      </c>
      <c r="AK10" s="58" t="s">
        <v>40</v>
      </c>
      <c r="AL10" s="58" t="s">
        <v>40</v>
      </c>
      <c r="AM10" s="58" t="s">
        <v>40</v>
      </c>
      <c r="AN10" s="58" t="s">
        <v>40</v>
      </c>
      <c r="AO10" s="58" t="s">
        <v>40</v>
      </c>
      <c r="AP10" s="58" t="s">
        <v>40</v>
      </c>
      <c r="AQ10" s="58" t="s">
        <v>40</v>
      </c>
      <c r="AR10" s="58" t="s">
        <v>40</v>
      </c>
      <c r="AS10" s="58" t="s">
        <v>40</v>
      </c>
      <c r="AT10" s="58" t="s">
        <v>40</v>
      </c>
      <c r="AU10" s="58" t="s">
        <v>40</v>
      </c>
      <c r="AV10" s="58" t="s">
        <v>40</v>
      </c>
      <c r="AW10" s="58" t="s">
        <v>40</v>
      </c>
      <c r="AX10" s="58" t="s">
        <v>40</v>
      </c>
      <c r="AY10" s="58" t="s">
        <v>40</v>
      </c>
      <c r="AZ10" s="58" t="s">
        <v>40</v>
      </c>
      <c r="BA10" s="58" t="s">
        <v>40</v>
      </c>
      <c r="BB10" s="58" t="s">
        <v>40</v>
      </c>
      <c r="BC10" s="58" t="s">
        <v>40</v>
      </c>
      <c r="BD10" s="58" t="s">
        <v>40</v>
      </c>
      <c r="BE10" s="58" t="s">
        <v>40</v>
      </c>
      <c r="BF10" s="58" t="s">
        <v>40</v>
      </c>
      <c r="BG10" s="58" t="s">
        <v>40</v>
      </c>
      <c r="BH10" s="58" t="s">
        <v>40</v>
      </c>
      <c r="BI10" s="58" t="s">
        <v>40</v>
      </c>
      <c r="BJ10" s="58" t="s">
        <v>40</v>
      </c>
      <c r="BK10" s="58" t="s">
        <v>40</v>
      </c>
      <c r="BL10" s="58" t="s">
        <v>40</v>
      </c>
      <c r="BM10" s="58" t="s">
        <v>40</v>
      </c>
      <c r="BN10" s="58" t="s">
        <v>40</v>
      </c>
      <c r="BO10" s="58" t="s">
        <v>40</v>
      </c>
      <c r="BP10" s="58" t="s">
        <v>40</v>
      </c>
      <c r="BQ10" s="58" t="s">
        <v>40</v>
      </c>
      <c r="BR10" s="58" t="s">
        <v>40</v>
      </c>
      <c r="BS10" s="58" t="s">
        <v>40</v>
      </c>
      <c r="BT10" s="58" t="s">
        <v>40</v>
      </c>
      <c r="BU10" s="58" t="s">
        <v>40</v>
      </c>
      <c r="BV10" s="58" t="s">
        <v>40</v>
      </c>
      <c r="BW10" s="58" t="s">
        <v>40</v>
      </c>
      <c r="BX10" s="58" t="s">
        <v>40</v>
      </c>
      <c r="BY10" s="58" t="s">
        <v>40</v>
      </c>
      <c r="BZ10" s="58" t="s">
        <v>40</v>
      </c>
      <c r="CA10" s="58" t="s">
        <v>40</v>
      </c>
      <c r="CB10" s="58" t="s">
        <v>40</v>
      </c>
      <c r="CC10" s="58" t="s">
        <v>40</v>
      </c>
      <c r="CD10" s="58" t="s">
        <v>40</v>
      </c>
      <c r="CE10" s="58" t="s">
        <v>40</v>
      </c>
      <c r="CF10" s="58" t="s">
        <v>40</v>
      </c>
      <c r="CG10" s="63">
        <v>3415.7</v>
      </c>
      <c r="CH10" s="63">
        <v>3312.7</v>
      </c>
      <c r="CI10" s="63">
        <v>3209.4</v>
      </c>
      <c r="CJ10" s="63">
        <v>3300.2</v>
      </c>
      <c r="CK10" s="63">
        <v>3372.3</v>
      </c>
      <c r="CL10" s="63">
        <v>3444.2</v>
      </c>
      <c r="CM10" s="63">
        <v>3562.3</v>
      </c>
      <c r="CN10" s="63">
        <v>3717.7</v>
      </c>
      <c r="CO10" s="63">
        <v>3902.5</v>
      </c>
      <c r="CP10" s="63">
        <v>4044.7</v>
      </c>
      <c r="CQ10" s="63">
        <v>4212.2</v>
      </c>
      <c r="CR10" s="63">
        <v>4378.7</v>
      </c>
      <c r="CS10" s="63">
        <v>4513.6</v>
      </c>
      <c r="CT10" s="63">
        <v>4724.4</v>
      </c>
      <c r="CU10" s="63">
        <v>5257.7</v>
      </c>
      <c r="CV10" s="63">
        <v>5225.9</v>
      </c>
      <c r="CW10" s="63">
        <v>5316.3</v>
      </c>
      <c r="CX10" s="63">
        <v>5466.8</v>
      </c>
      <c r="CY10" s="63">
        <v>5643.1</v>
      </c>
    </row>
    <row r="11">
      <c r="A11" s="58">
        <v>4.0</v>
      </c>
      <c r="B11" s="58" t="s">
        <v>41</v>
      </c>
      <c r="C11" s="58"/>
      <c r="D11" s="58" t="s">
        <v>40</v>
      </c>
      <c r="E11" s="58"/>
      <c r="F11" s="58" t="s">
        <v>40</v>
      </c>
      <c r="G11" s="58"/>
      <c r="H11" s="58" t="s">
        <v>40</v>
      </c>
      <c r="I11" s="58"/>
      <c r="J11" s="58" t="s">
        <v>40</v>
      </c>
      <c r="K11" s="58" t="s">
        <v>40</v>
      </c>
      <c r="L11" s="58" t="s">
        <v>40</v>
      </c>
      <c r="M11" s="58" t="s">
        <v>40</v>
      </c>
      <c r="N11" s="58" t="s">
        <v>40</v>
      </c>
      <c r="O11" s="58" t="s">
        <v>40</v>
      </c>
      <c r="P11" s="58" t="s">
        <v>40</v>
      </c>
      <c r="Q11" s="58" t="s">
        <v>40</v>
      </c>
      <c r="R11" s="58" t="s">
        <v>40</v>
      </c>
      <c r="S11" s="58" t="s">
        <v>40</v>
      </c>
      <c r="T11" s="58" t="s">
        <v>40</v>
      </c>
      <c r="U11" s="58" t="s">
        <v>40</v>
      </c>
      <c r="V11" s="58" t="s">
        <v>40</v>
      </c>
      <c r="W11" s="58" t="s">
        <v>40</v>
      </c>
      <c r="X11" s="58" t="s">
        <v>40</v>
      </c>
      <c r="Y11" s="58" t="s">
        <v>40</v>
      </c>
      <c r="Z11" s="58" t="s">
        <v>40</v>
      </c>
      <c r="AA11" s="58" t="s">
        <v>40</v>
      </c>
      <c r="AB11" s="58" t="s">
        <v>40</v>
      </c>
      <c r="AC11" s="58" t="s">
        <v>40</v>
      </c>
      <c r="AD11" s="58" t="s">
        <v>40</v>
      </c>
      <c r="AE11" s="58" t="s">
        <v>40</v>
      </c>
      <c r="AF11" s="58" t="s">
        <v>40</v>
      </c>
      <c r="AG11" s="58" t="s">
        <v>40</v>
      </c>
      <c r="AH11" s="58" t="s">
        <v>40</v>
      </c>
      <c r="AI11" s="58" t="s">
        <v>40</v>
      </c>
      <c r="AJ11" s="58" t="s">
        <v>40</v>
      </c>
      <c r="AK11" s="58" t="s">
        <v>40</v>
      </c>
      <c r="AL11" s="58" t="s">
        <v>40</v>
      </c>
      <c r="AM11" s="58" t="s">
        <v>40</v>
      </c>
      <c r="AN11" s="58" t="s">
        <v>40</v>
      </c>
      <c r="AO11" s="58" t="s">
        <v>40</v>
      </c>
      <c r="AP11" s="58" t="s">
        <v>40</v>
      </c>
      <c r="AQ11" s="58" t="s">
        <v>40</v>
      </c>
      <c r="AR11" s="58" t="s">
        <v>40</v>
      </c>
      <c r="AS11" s="58" t="s">
        <v>40</v>
      </c>
      <c r="AT11" s="58" t="s">
        <v>40</v>
      </c>
      <c r="AU11" s="58" t="s">
        <v>40</v>
      </c>
      <c r="AV11" s="58" t="s">
        <v>40</v>
      </c>
      <c r="AW11" s="58" t="s">
        <v>40</v>
      </c>
      <c r="AX11" s="58" t="s">
        <v>40</v>
      </c>
      <c r="AY11" s="58" t="s">
        <v>40</v>
      </c>
      <c r="AZ11" s="58" t="s">
        <v>40</v>
      </c>
      <c r="BA11" s="58" t="s">
        <v>40</v>
      </c>
      <c r="BB11" s="58" t="s">
        <v>40</v>
      </c>
      <c r="BC11" s="58" t="s">
        <v>40</v>
      </c>
      <c r="BD11" s="58" t="s">
        <v>40</v>
      </c>
      <c r="BE11" s="58" t="s">
        <v>40</v>
      </c>
      <c r="BF11" s="58" t="s">
        <v>40</v>
      </c>
      <c r="BG11" s="58" t="s">
        <v>40</v>
      </c>
      <c r="BH11" s="58" t="s">
        <v>40</v>
      </c>
      <c r="BI11" s="58" t="s">
        <v>40</v>
      </c>
      <c r="BJ11" s="58" t="s">
        <v>40</v>
      </c>
      <c r="BK11" s="58" t="s">
        <v>40</v>
      </c>
      <c r="BL11" s="58" t="s">
        <v>40</v>
      </c>
      <c r="BM11" s="58" t="s">
        <v>40</v>
      </c>
      <c r="BN11" s="58" t="s">
        <v>40</v>
      </c>
      <c r="BO11" s="58" t="s">
        <v>40</v>
      </c>
      <c r="BP11" s="58" t="s">
        <v>40</v>
      </c>
      <c r="BQ11" s="58" t="s">
        <v>40</v>
      </c>
      <c r="BR11" s="58" t="s">
        <v>40</v>
      </c>
      <c r="BS11" s="58" t="s">
        <v>40</v>
      </c>
      <c r="BT11" s="58" t="s">
        <v>40</v>
      </c>
      <c r="BU11" s="58" t="s">
        <v>40</v>
      </c>
      <c r="BV11" s="58" t="s">
        <v>40</v>
      </c>
      <c r="BW11" s="58" t="s">
        <v>40</v>
      </c>
      <c r="BX11" s="58" t="s">
        <v>40</v>
      </c>
      <c r="BY11" s="58" t="s">
        <v>40</v>
      </c>
      <c r="BZ11" s="58" t="s">
        <v>40</v>
      </c>
      <c r="CA11" s="58" t="s">
        <v>40</v>
      </c>
      <c r="CB11" s="58" t="s">
        <v>40</v>
      </c>
      <c r="CC11" s="58" t="s">
        <v>40</v>
      </c>
      <c r="CD11" s="58" t="s">
        <v>40</v>
      </c>
      <c r="CE11" s="58" t="s">
        <v>40</v>
      </c>
      <c r="CF11" s="58" t="s">
        <v>40</v>
      </c>
      <c r="CG11" s="63">
        <v>985.4</v>
      </c>
      <c r="CH11" s="63">
        <v>928.8</v>
      </c>
      <c r="CI11" s="63">
        <v>871.9</v>
      </c>
      <c r="CJ11" s="63">
        <v>920.6</v>
      </c>
      <c r="CK11" s="63">
        <v>967.5</v>
      </c>
      <c r="CL11" s="63">
        <v>1025.3</v>
      </c>
      <c r="CM11" s="63">
        <v>1087.9</v>
      </c>
      <c r="CN11" s="63">
        <v>1168.2</v>
      </c>
      <c r="CO11" s="63">
        <v>1257.7</v>
      </c>
      <c r="CP11" s="63">
        <v>1325.5</v>
      </c>
      <c r="CQ11" s="63">
        <v>1415.9</v>
      </c>
      <c r="CR11" s="63">
        <v>1509.5</v>
      </c>
      <c r="CS11" s="63">
        <v>1559.7</v>
      </c>
      <c r="CT11" s="63">
        <v>1675.1</v>
      </c>
      <c r="CU11" s="63">
        <v>1949.3</v>
      </c>
      <c r="CV11" s="63">
        <v>1910.0</v>
      </c>
      <c r="CW11" s="63">
        <v>1982.8</v>
      </c>
      <c r="CX11" s="63">
        <v>2059.6</v>
      </c>
      <c r="CY11" s="63">
        <v>2133.3</v>
      </c>
    </row>
    <row r="12">
      <c r="A12" s="58">
        <v>5.0</v>
      </c>
      <c r="B12" s="58" t="s">
        <v>42</v>
      </c>
      <c r="C12" s="58"/>
      <c r="D12" s="58" t="s">
        <v>40</v>
      </c>
      <c r="E12" s="58"/>
      <c r="F12" s="58" t="s">
        <v>40</v>
      </c>
      <c r="G12" s="58"/>
      <c r="H12" s="58" t="s">
        <v>40</v>
      </c>
      <c r="I12" s="58"/>
      <c r="J12" s="58" t="s">
        <v>40</v>
      </c>
      <c r="K12" s="58" t="s">
        <v>40</v>
      </c>
      <c r="L12" s="58" t="s">
        <v>40</v>
      </c>
      <c r="M12" s="58" t="s">
        <v>40</v>
      </c>
      <c r="N12" s="58" t="s">
        <v>40</v>
      </c>
      <c r="O12" s="58" t="s">
        <v>40</v>
      </c>
      <c r="P12" s="58" t="s">
        <v>40</v>
      </c>
      <c r="Q12" s="58" t="s">
        <v>40</v>
      </c>
      <c r="R12" s="58" t="s">
        <v>40</v>
      </c>
      <c r="S12" s="58" t="s">
        <v>40</v>
      </c>
      <c r="T12" s="58" t="s">
        <v>40</v>
      </c>
      <c r="U12" s="58" t="s">
        <v>40</v>
      </c>
      <c r="V12" s="58" t="s">
        <v>40</v>
      </c>
      <c r="W12" s="58" t="s">
        <v>40</v>
      </c>
      <c r="X12" s="58" t="s">
        <v>40</v>
      </c>
      <c r="Y12" s="58" t="s">
        <v>40</v>
      </c>
      <c r="Z12" s="58" t="s">
        <v>40</v>
      </c>
      <c r="AA12" s="58" t="s">
        <v>40</v>
      </c>
      <c r="AB12" s="58" t="s">
        <v>40</v>
      </c>
      <c r="AC12" s="58" t="s">
        <v>40</v>
      </c>
      <c r="AD12" s="58" t="s">
        <v>40</v>
      </c>
      <c r="AE12" s="58" t="s">
        <v>40</v>
      </c>
      <c r="AF12" s="58" t="s">
        <v>40</v>
      </c>
      <c r="AG12" s="58" t="s">
        <v>40</v>
      </c>
      <c r="AH12" s="58" t="s">
        <v>40</v>
      </c>
      <c r="AI12" s="58" t="s">
        <v>40</v>
      </c>
      <c r="AJ12" s="58" t="s">
        <v>40</v>
      </c>
      <c r="AK12" s="58" t="s">
        <v>40</v>
      </c>
      <c r="AL12" s="58" t="s">
        <v>40</v>
      </c>
      <c r="AM12" s="58" t="s">
        <v>40</v>
      </c>
      <c r="AN12" s="58" t="s">
        <v>40</v>
      </c>
      <c r="AO12" s="58" t="s">
        <v>40</v>
      </c>
      <c r="AP12" s="58" t="s">
        <v>40</v>
      </c>
      <c r="AQ12" s="58" t="s">
        <v>40</v>
      </c>
      <c r="AR12" s="58" t="s">
        <v>40</v>
      </c>
      <c r="AS12" s="58" t="s">
        <v>40</v>
      </c>
      <c r="AT12" s="58" t="s">
        <v>40</v>
      </c>
      <c r="AU12" s="58" t="s">
        <v>40</v>
      </c>
      <c r="AV12" s="58" t="s">
        <v>40</v>
      </c>
      <c r="AW12" s="58" t="s">
        <v>40</v>
      </c>
      <c r="AX12" s="58" t="s">
        <v>40</v>
      </c>
      <c r="AY12" s="58" t="s">
        <v>40</v>
      </c>
      <c r="AZ12" s="58" t="s">
        <v>40</v>
      </c>
      <c r="BA12" s="58" t="s">
        <v>40</v>
      </c>
      <c r="BB12" s="58" t="s">
        <v>40</v>
      </c>
      <c r="BC12" s="58" t="s">
        <v>40</v>
      </c>
      <c r="BD12" s="58" t="s">
        <v>40</v>
      </c>
      <c r="BE12" s="58" t="s">
        <v>40</v>
      </c>
      <c r="BF12" s="58" t="s">
        <v>40</v>
      </c>
      <c r="BG12" s="58" t="s">
        <v>40</v>
      </c>
      <c r="BH12" s="58" t="s">
        <v>40</v>
      </c>
      <c r="BI12" s="58" t="s">
        <v>40</v>
      </c>
      <c r="BJ12" s="58" t="s">
        <v>40</v>
      </c>
      <c r="BK12" s="58" t="s">
        <v>40</v>
      </c>
      <c r="BL12" s="58" t="s">
        <v>40</v>
      </c>
      <c r="BM12" s="58" t="s">
        <v>40</v>
      </c>
      <c r="BN12" s="58" t="s">
        <v>40</v>
      </c>
      <c r="BO12" s="58" t="s">
        <v>40</v>
      </c>
      <c r="BP12" s="58" t="s">
        <v>40</v>
      </c>
      <c r="BQ12" s="58" t="s">
        <v>40</v>
      </c>
      <c r="BR12" s="58" t="s">
        <v>40</v>
      </c>
      <c r="BS12" s="58" t="s">
        <v>40</v>
      </c>
      <c r="BT12" s="58" t="s">
        <v>40</v>
      </c>
      <c r="BU12" s="58" t="s">
        <v>40</v>
      </c>
      <c r="BV12" s="58" t="s">
        <v>40</v>
      </c>
      <c r="BW12" s="58" t="s">
        <v>40</v>
      </c>
      <c r="BX12" s="58" t="s">
        <v>40</v>
      </c>
      <c r="BY12" s="58" t="s">
        <v>40</v>
      </c>
      <c r="BZ12" s="58" t="s">
        <v>40</v>
      </c>
      <c r="CA12" s="58" t="s">
        <v>40</v>
      </c>
      <c r="CB12" s="58" t="s">
        <v>40</v>
      </c>
      <c r="CC12" s="58" t="s">
        <v>40</v>
      </c>
      <c r="CD12" s="58" t="s">
        <v>40</v>
      </c>
      <c r="CE12" s="58" t="s">
        <v>40</v>
      </c>
      <c r="CF12" s="58" t="s">
        <v>40</v>
      </c>
      <c r="CG12" s="63">
        <v>2434.5</v>
      </c>
      <c r="CH12" s="63">
        <v>2396.1</v>
      </c>
      <c r="CI12" s="63">
        <v>2356.4</v>
      </c>
      <c r="CJ12" s="63">
        <v>2393.5</v>
      </c>
      <c r="CK12" s="63">
        <v>2414.6</v>
      </c>
      <c r="CL12" s="63">
        <v>2424.9</v>
      </c>
      <c r="CM12" s="63">
        <v>2478.6</v>
      </c>
      <c r="CN12" s="63">
        <v>2552.3</v>
      </c>
      <c r="CO12" s="63">
        <v>2646.3</v>
      </c>
      <c r="CP12" s="63">
        <v>2719.9</v>
      </c>
      <c r="CQ12" s="63">
        <v>2796.3</v>
      </c>
      <c r="CR12" s="63">
        <v>2869.8</v>
      </c>
      <c r="CS12" s="63">
        <v>2954.6</v>
      </c>
      <c r="CT12" s="63">
        <v>3051.8</v>
      </c>
      <c r="CU12" s="63">
        <v>3314.4</v>
      </c>
      <c r="CV12" s="63">
        <v>3320.5</v>
      </c>
      <c r="CW12" s="63">
        <v>3341.3</v>
      </c>
      <c r="CX12" s="63">
        <v>3417.3</v>
      </c>
      <c r="CY12" s="63">
        <v>3521.0</v>
      </c>
    </row>
    <row r="13">
      <c r="A13" s="58">
        <v>6.0</v>
      </c>
      <c r="B13" s="58" t="s">
        <v>43</v>
      </c>
      <c r="C13" s="58"/>
      <c r="D13" s="58" t="s">
        <v>40</v>
      </c>
      <c r="E13" s="58"/>
      <c r="F13" s="58" t="s">
        <v>40</v>
      </c>
      <c r="G13" s="58"/>
      <c r="H13" s="58" t="s">
        <v>40</v>
      </c>
      <c r="I13" s="58"/>
      <c r="J13" s="58" t="s">
        <v>40</v>
      </c>
      <c r="K13" s="58" t="s">
        <v>40</v>
      </c>
      <c r="L13" s="58" t="s">
        <v>40</v>
      </c>
      <c r="M13" s="58" t="s">
        <v>40</v>
      </c>
      <c r="N13" s="58" t="s">
        <v>40</v>
      </c>
      <c r="O13" s="58" t="s">
        <v>40</v>
      </c>
      <c r="P13" s="58" t="s">
        <v>40</v>
      </c>
      <c r="Q13" s="58" t="s">
        <v>40</v>
      </c>
      <c r="R13" s="58" t="s">
        <v>40</v>
      </c>
      <c r="S13" s="58" t="s">
        <v>40</v>
      </c>
      <c r="T13" s="58" t="s">
        <v>40</v>
      </c>
      <c r="U13" s="58" t="s">
        <v>40</v>
      </c>
      <c r="V13" s="58" t="s">
        <v>40</v>
      </c>
      <c r="W13" s="58" t="s">
        <v>40</v>
      </c>
      <c r="X13" s="58" t="s">
        <v>40</v>
      </c>
      <c r="Y13" s="58" t="s">
        <v>40</v>
      </c>
      <c r="Z13" s="58" t="s">
        <v>40</v>
      </c>
      <c r="AA13" s="58" t="s">
        <v>40</v>
      </c>
      <c r="AB13" s="58" t="s">
        <v>40</v>
      </c>
      <c r="AC13" s="58" t="s">
        <v>40</v>
      </c>
      <c r="AD13" s="58" t="s">
        <v>40</v>
      </c>
      <c r="AE13" s="58" t="s">
        <v>40</v>
      </c>
      <c r="AF13" s="58" t="s">
        <v>40</v>
      </c>
      <c r="AG13" s="58" t="s">
        <v>40</v>
      </c>
      <c r="AH13" s="58" t="s">
        <v>40</v>
      </c>
      <c r="AI13" s="58" t="s">
        <v>40</v>
      </c>
      <c r="AJ13" s="58" t="s">
        <v>40</v>
      </c>
      <c r="AK13" s="58" t="s">
        <v>40</v>
      </c>
      <c r="AL13" s="58" t="s">
        <v>40</v>
      </c>
      <c r="AM13" s="58" t="s">
        <v>40</v>
      </c>
      <c r="AN13" s="58" t="s">
        <v>40</v>
      </c>
      <c r="AO13" s="58" t="s">
        <v>40</v>
      </c>
      <c r="AP13" s="58" t="s">
        <v>40</v>
      </c>
      <c r="AQ13" s="58" t="s">
        <v>40</v>
      </c>
      <c r="AR13" s="58" t="s">
        <v>40</v>
      </c>
      <c r="AS13" s="58" t="s">
        <v>40</v>
      </c>
      <c r="AT13" s="58" t="s">
        <v>40</v>
      </c>
      <c r="AU13" s="58" t="s">
        <v>40</v>
      </c>
      <c r="AV13" s="58" t="s">
        <v>40</v>
      </c>
      <c r="AW13" s="58" t="s">
        <v>40</v>
      </c>
      <c r="AX13" s="58" t="s">
        <v>40</v>
      </c>
      <c r="AY13" s="58" t="s">
        <v>40</v>
      </c>
      <c r="AZ13" s="58" t="s">
        <v>40</v>
      </c>
      <c r="BA13" s="58" t="s">
        <v>40</v>
      </c>
      <c r="BB13" s="58" t="s">
        <v>40</v>
      </c>
      <c r="BC13" s="58" t="s">
        <v>40</v>
      </c>
      <c r="BD13" s="58" t="s">
        <v>40</v>
      </c>
      <c r="BE13" s="58" t="s">
        <v>40</v>
      </c>
      <c r="BF13" s="58" t="s">
        <v>40</v>
      </c>
      <c r="BG13" s="58" t="s">
        <v>40</v>
      </c>
      <c r="BH13" s="58" t="s">
        <v>40</v>
      </c>
      <c r="BI13" s="58" t="s">
        <v>40</v>
      </c>
      <c r="BJ13" s="58" t="s">
        <v>40</v>
      </c>
      <c r="BK13" s="58" t="s">
        <v>40</v>
      </c>
      <c r="BL13" s="58" t="s">
        <v>40</v>
      </c>
      <c r="BM13" s="58" t="s">
        <v>40</v>
      </c>
      <c r="BN13" s="58" t="s">
        <v>40</v>
      </c>
      <c r="BO13" s="58" t="s">
        <v>40</v>
      </c>
      <c r="BP13" s="58" t="s">
        <v>40</v>
      </c>
      <c r="BQ13" s="58" t="s">
        <v>40</v>
      </c>
      <c r="BR13" s="58" t="s">
        <v>40</v>
      </c>
      <c r="BS13" s="58" t="s">
        <v>40</v>
      </c>
      <c r="BT13" s="58" t="s">
        <v>40</v>
      </c>
      <c r="BU13" s="58" t="s">
        <v>40</v>
      </c>
      <c r="BV13" s="58" t="s">
        <v>40</v>
      </c>
      <c r="BW13" s="58" t="s">
        <v>40</v>
      </c>
      <c r="BX13" s="58" t="s">
        <v>40</v>
      </c>
      <c r="BY13" s="58" t="s">
        <v>40</v>
      </c>
      <c r="BZ13" s="58" t="s">
        <v>40</v>
      </c>
      <c r="CA13" s="58" t="s">
        <v>40</v>
      </c>
      <c r="CB13" s="58" t="s">
        <v>40</v>
      </c>
      <c r="CC13" s="58" t="s">
        <v>40</v>
      </c>
      <c r="CD13" s="58" t="s">
        <v>40</v>
      </c>
      <c r="CE13" s="58" t="s">
        <v>40</v>
      </c>
      <c r="CF13" s="58" t="s">
        <v>40</v>
      </c>
      <c r="CG13" s="63">
        <v>7838.5</v>
      </c>
      <c r="CH13" s="63">
        <v>7981.2</v>
      </c>
      <c r="CI13" s="63">
        <v>7948.6</v>
      </c>
      <c r="CJ13" s="63">
        <v>8065.3</v>
      </c>
      <c r="CK13" s="63">
        <v>8183.9</v>
      </c>
      <c r="CL13" s="63">
        <v>8265.3</v>
      </c>
      <c r="CM13" s="63">
        <v>8341.9</v>
      </c>
      <c r="CN13" s="63">
        <v>8516.3</v>
      </c>
      <c r="CO13" s="63">
        <v>8738.9</v>
      </c>
      <c r="CP13" s="63">
        <v>8904.9</v>
      </c>
      <c r="CQ13" s="63">
        <v>9078.4</v>
      </c>
      <c r="CR13" s="63">
        <v>9276.6</v>
      </c>
      <c r="CS13" s="63">
        <v>9436.2</v>
      </c>
      <c r="CT13" s="63">
        <v>8892.4</v>
      </c>
      <c r="CU13" s="63">
        <v>9564.0</v>
      </c>
      <c r="CV13" s="63">
        <v>10032.8</v>
      </c>
      <c r="CW13" s="63">
        <v>10331.8</v>
      </c>
      <c r="CX13" s="63">
        <v>10642.1</v>
      </c>
      <c r="CY13" s="63">
        <v>10892.1</v>
      </c>
    </row>
    <row r="14">
      <c r="A14" s="58">
        <v>7.0</v>
      </c>
      <c r="B14" s="56" t="s">
        <v>44</v>
      </c>
      <c r="C14" s="62"/>
      <c r="D14" s="62">
        <v>125.4</v>
      </c>
      <c r="E14" s="62"/>
      <c r="F14" s="62">
        <v>85.4</v>
      </c>
      <c r="G14" s="62"/>
      <c r="H14" s="62">
        <v>55.5</v>
      </c>
      <c r="I14" s="62"/>
      <c r="J14" s="62">
        <v>20.5</v>
      </c>
      <c r="K14" s="62">
        <v>27.7</v>
      </c>
      <c r="L14" s="62">
        <v>45.8</v>
      </c>
      <c r="M14" s="62">
        <v>79.7</v>
      </c>
      <c r="N14" s="62">
        <v>100.8</v>
      </c>
      <c r="O14" s="62">
        <v>124.2</v>
      </c>
      <c r="P14" s="62">
        <v>85.4</v>
      </c>
      <c r="Q14" s="62">
        <v>107.4</v>
      </c>
      <c r="R14" s="62">
        <v>146.3</v>
      </c>
      <c r="S14" s="62">
        <v>179.1</v>
      </c>
      <c r="T14" s="62">
        <v>99.7</v>
      </c>
      <c r="U14" s="62">
        <v>62.2</v>
      </c>
      <c r="V14" s="62">
        <v>74.3</v>
      </c>
      <c r="W14" s="62">
        <v>95.6</v>
      </c>
      <c r="X14" s="62">
        <v>229.6</v>
      </c>
      <c r="Y14" s="62">
        <v>221.0</v>
      </c>
      <c r="Z14" s="62">
        <v>278.5</v>
      </c>
      <c r="AA14" s="62">
        <v>215.3</v>
      </c>
      <c r="AB14" s="62">
        <v>300.0</v>
      </c>
      <c r="AC14" s="62">
        <v>300.7</v>
      </c>
      <c r="AD14" s="62">
        <v>276.1</v>
      </c>
      <c r="AE14" s="62">
        <v>291.7</v>
      </c>
      <c r="AF14" s="62">
        <v>280.2</v>
      </c>
      <c r="AG14" s="62">
        <v>345.0</v>
      </c>
      <c r="AH14" s="62">
        <v>344.0</v>
      </c>
      <c r="AI14" s="62">
        <v>331.1</v>
      </c>
      <c r="AJ14" s="62">
        <v>307.2</v>
      </c>
      <c r="AK14" s="62">
        <v>366.2</v>
      </c>
      <c r="AL14" s="62">
        <v>367.5</v>
      </c>
      <c r="AM14" s="62">
        <v>368.7</v>
      </c>
      <c r="AN14" s="62">
        <v>412.5</v>
      </c>
      <c r="AO14" s="62">
        <v>440.5</v>
      </c>
      <c r="AP14" s="62">
        <v>475.3</v>
      </c>
      <c r="AQ14" s="62">
        <v>541.0</v>
      </c>
      <c r="AR14" s="62">
        <v>589.6</v>
      </c>
      <c r="AS14" s="62">
        <v>569.0</v>
      </c>
      <c r="AT14" s="62">
        <v>603.0</v>
      </c>
      <c r="AU14" s="62">
        <v>636.6</v>
      </c>
      <c r="AV14" s="62">
        <v>597.9</v>
      </c>
      <c r="AW14" s="62">
        <v>659.5</v>
      </c>
      <c r="AX14" s="62">
        <v>733.8</v>
      </c>
      <c r="AY14" s="62">
        <v>814.1</v>
      </c>
      <c r="AZ14" s="62">
        <v>760.2</v>
      </c>
      <c r="BA14" s="62">
        <v>637.0</v>
      </c>
      <c r="BB14" s="62">
        <v>758.6</v>
      </c>
      <c r="BC14" s="62">
        <v>866.8</v>
      </c>
      <c r="BD14" s="62">
        <v>967.1</v>
      </c>
      <c r="BE14" s="62">
        <v>1001.0</v>
      </c>
      <c r="BF14" s="62">
        <v>900.3</v>
      </c>
      <c r="BG14" s="62">
        <v>979.5</v>
      </c>
      <c r="BH14" s="62">
        <v>856.5</v>
      </c>
      <c r="BI14" s="62">
        <v>936.4</v>
      </c>
      <c r="BJ14" s="62">
        <v>1191.9</v>
      </c>
      <c r="BK14" s="62">
        <v>1191.2</v>
      </c>
      <c r="BL14" s="62">
        <v>1193.1</v>
      </c>
      <c r="BM14" s="62">
        <v>1227.0</v>
      </c>
      <c r="BN14" s="62">
        <v>1257.2</v>
      </c>
      <c r="BO14" s="62">
        <v>1308.1</v>
      </c>
      <c r="BP14" s="62">
        <v>1274.3</v>
      </c>
      <c r="BQ14" s="62">
        <v>1190.0</v>
      </c>
      <c r="BR14" s="62">
        <v>1276.7</v>
      </c>
      <c r="BS14" s="62">
        <v>1378.8</v>
      </c>
      <c r="BT14" s="62">
        <v>1541.9</v>
      </c>
      <c r="BU14" s="62">
        <v>1591.4</v>
      </c>
      <c r="BV14" s="62">
        <v>1730.5</v>
      </c>
      <c r="BW14" s="62">
        <v>1927.8</v>
      </c>
      <c r="BX14" s="62">
        <v>2111.5</v>
      </c>
      <c r="BY14" s="62">
        <v>2290.7</v>
      </c>
      <c r="BZ14" s="62">
        <v>2444.9</v>
      </c>
      <c r="CA14" s="62">
        <v>2307.4</v>
      </c>
      <c r="CB14" s="62">
        <v>2287.7</v>
      </c>
      <c r="CC14" s="62">
        <v>2386.4</v>
      </c>
      <c r="CD14" s="62">
        <v>2607.0</v>
      </c>
      <c r="CE14" s="62">
        <v>2782.2</v>
      </c>
      <c r="CF14" s="62">
        <v>2867.9</v>
      </c>
      <c r="CG14" s="62">
        <v>2796.0</v>
      </c>
      <c r="CH14" s="62">
        <v>2564.3</v>
      </c>
      <c r="CI14" s="62">
        <v>2025.3</v>
      </c>
      <c r="CJ14" s="62">
        <v>2309.0</v>
      </c>
      <c r="CK14" s="62">
        <v>2463.1</v>
      </c>
      <c r="CL14" s="62">
        <v>2735.3</v>
      </c>
      <c r="CM14" s="62">
        <v>2938.7</v>
      </c>
      <c r="CN14" s="62">
        <v>3129.0</v>
      </c>
      <c r="CO14" s="62">
        <v>3323.4</v>
      </c>
      <c r="CP14" s="62">
        <v>3320.2</v>
      </c>
      <c r="CQ14" s="62">
        <v>3467.7</v>
      </c>
      <c r="CR14" s="62">
        <v>3668.1</v>
      </c>
      <c r="CS14" s="62">
        <v>3784.0</v>
      </c>
      <c r="CT14" s="62">
        <v>3618.6</v>
      </c>
      <c r="CU14" s="62">
        <v>3944.4</v>
      </c>
      <c r="CV14" s="62">
        <v>4184.9</v>
      </c>
      <c r="CW14" s="62">
        <v>4219.5</v>
      </c>
      <c r="CX14" s="62">
        <v>4346.5</v>
      </c>
      <c r="CY14" s="62">
        <v>4433.2</v>
      </c>
    </row>
    <row r="15">
      <c r="A15" s="58">
        <v>8.0</v>
      </c>
      <c r="B15" s="58" t="s">
        <v>45</v>
      </c>
      <c r="C15" s="58"/>
      <c r="D15" s="58" t="s">
        <v>40</v>
      </c>
      <c r="E15" s="58"/>
      <c r="F15" s="58" t="s">
        <v>40</v>
      </c>
      <c r="G15" s="58"/>
      <c r="H15" s="58" t="s">
        <v>40</v>
      </c>
      <c r="I15" s="58"/>
      <c r="J15" s="58" t="s">
        <v>40</v>
      </c>
      <c r="K15" s="58" t="s">
        <v>40</v>
      </c>
      <c r="L15" s="58" t="s">
        <v>40</v>
      </c>
      <c r="M15" s="58" t="s">
        <v>40</v>
      </c>
      <c r="N15" s="58" t="s">
        <v>40</v>
      </c>
      <c r="O15" s="58" t="s">
        <v>40</v>
      </c>
      <c r="P15" s="58" t="s">
        <v>40</v>
      </c>
      <c r="Q15" s="58" t="s">
        <v>40</v>
      </c>
      <c r="R15" s="58" t="s">
        <v>40</v>
      </c>
      <c r="S15" s="58" t="s">
        <v>40</v>
      </c>
      <c r="T15" s="58" t="s">
        <v>40</v>
      </c>
      <c r="U15" s="58" t="s">
        <v>40</v>
      </c>
      <c r="V15" s="58" t="s">
        <v>40</v>
      </c>
      <c r="W15" s="58" t="s">
        <v>40</v>
      </c>
      <c r="X15" s="58" t="s">
        <v>40</v>
      </c>
      <c r="Y15" s="58" t="s">
        <v>40</v>
      </c>
      <c r="Z15" s="58" t="s">
        <v>40</v>
      </c>
      <c r="AA15" s="58" t="s">
        <v>40</v>
      </c>
      <c r="AB15" s="58" t="s">
        <v>40</v>
      </c>
      <c r="AC15" s="58" t="s">
        <v>40</v>
      </c>
      <c r="AD15" s="58" t="s">
        <v>40</v>
      </c>
      <c r="AE15" s="58" t="s">
        <v>40</v>
      </c>
      <c r="AF15" s="58" t="s">
        <v>40</v>
      </c>
      <c r="AG15" s="58" t="s">
        <v>40</v>
      </c>
      <c r="AH15" s="58" t="s">
        <v>40</v>
      </c>
      <c r="AI15" s="58" t="s">
        <v>40</v>
      </c>
      <c r="AJ15" s="58" t="s">
        <v>40</v>
      </c>
      <c r="AK15" s="58" t="s">
        <v>40</v>
      </c>
      <c r="AL15" s="58" t="s">
        <v>40</v>
      </c>
      <c r="AM15" s="58" t="s">
        <v>40</v>
      </c>
      <c r="AN15" s="58" t="s">
        <v>40</v>
      </c>
      <c r="AO15" s="58" t="s">
        <v>40</v>
      </c>
      <c r="AP15" s="58" t="s">
        <v>40</v>
      </c>
      <c r="AQ15" s="58" t="s">
        <v>40</v>
      </c>
      <c r="AR15" s="58" t="s">
        <v>40</v>
      </c>
      <c r="AS15" s="58" t="s">
        <v>40</v>
      </c>
      <c r="AT15" s="58" t="s">
        <v>40</v>
      </c>
      <c r="AU15" s="58" t="s">
        <v>40</v>
      </c>
      <c r="AV15" s="58" t="s">
        <v>40</v>
      </c>
      <c r="AW15" s="58" t="s">
        <v>40</v>
      </c>
      <c r="AX15" s="58" t="s">
        <v>40</v>
      </c>
      <c r="AY15" s="58" t="s">
        <v>40</v>
      </c>
      <c r="AZ15" s="58" t="s">
        <v>40</v>
      </c>
      <c r="BA15" s="58" t="s">
        <v>40</v>
      </c>
      <c r="BB15" s="58" t="s">
        <v>40</v>
      </c>
      <c r="BC15" s="58" t="s">
        <v>40</v>
      </c>
      <c r="BD15" s="58" t="s">
        <v>40</v>
      </c>
      <c r="BE15" s="58" t="s">
        <v>40</v>
      </c>
      <c r="BF15" s="58" t="s">
        <v>40</v>
      </c>
      <c r="BG15" s="58" t="s">
        <v>40</v>
      </c>
      <c r="BH15" s="58" t="s">
        <v>40</v>
      </c>
      <c r="BI15" s="58" t="s">
        <v>40</v>
      </c>
      <c r="BJ15" s="58" t="s">
        <v>40</v>
      </c>
      <c r="BK15" s="58" t="s">
        <v>40</v>
      </c>
      <c r="BL15" s="58" t="s">
        <v>40</v>
      </c>
      <c r="BM15" s="58" t="s">
        <v>40</v>
      </c>
      <c r="BN15" s="58" t="s">
        <v>40</v>
      </c>
      <c r="BO15" s="58" t="s">
        <v>40</v>
      </c>
      <c r="BP15" s="58" t="s">
        <v>40</v>
      </c>
      <c r="BQ15" s="58" t="s">
        <v>40</v>
      </c>
      <c r="BR15" s="58" t="s">
        <v>40</v>
      </c>
      <c r="BS15" s="58" t="s">
        <v>40</v>
      </c>
      <c r="BT15" s="58" t="s">
        <v>40</v>
      </c>
      <c r="BU15" s="58" t="s">
        <v>40</v>
      </c>
      <c r="BV15" s="58" t="s">
        <v>40</v>
      </c>
      <c r="BW15" s="58" t="s">
        <v>40</v>
      </c>
      <c r="BX15" s="58" t="s">
        <v>40</v>
      </c>
      <c r="BY15" s="58" t="s">
        <v>40</v>
      </c>
      <c r="BZ15" s="58" t="s">
        <v>40</v>
      </c>
      <c r="CA15" s="58" t="s">
        <v>40</v>
      </c>
      <c r="CB15" s="58" t="s">
        <v>40</v>
      </c>
      <c r="CC15" s="58" t="s">
        <v>40</v>
      </c>
      <c r="CD15" s="58" t="s">
        <v>40</v>
      </c>
      <c r="CE15" s="58" t="s">
        <v>40</v>
      </c>
      <c r="CF15" s="58" t="s">
        <v>40</v>
      </c>
      <c r="CG15" s="63">
        <v>2782.2</v>
      </c>
      <c r="CH15" s="63">
        <v>2620.6</v>
      </c>
      <c r="CI15" s="63">
        <v>2201.6</v>
      </c>
      <c r="CJ15" s="63">
        <v>2269.9</v>
      </c>
      <c r="CK15" s="63">
        <v>2432.5</v>
      </c>
      <c r="CL15" s="63">
        <v>2678.0</v>
      </c>
      <c r="CM15" s="63">
        <v>2842.0</v>
      </c>
      <c r="CN15" s="63">
        <v>3052.6</v>
      </c>
      <c r="CO15" s="63">
        <v>3193.6</v>
      </c>
      <c r="CP15" s="63">
        <v>3286.9</v>
      </c>
      <c r="CQ15" s="63">
        <v>3435.0</v>
      </c>
      <c r="CR15" s="63">
        <v>3611.7</v>
      </c>
      <c r="CS15" s="63">
        <v>3710.9</v>
      </c>
      <c r="CT15" s="63">
        <v>3639.4</v>
      </c>
      <c r="CU15" s="63">
        <v>3905.7</v>
      </c>
      <c r="CV15" s="63">
        <v>4002.4</v>
      </c>
      <c r="CW15" s="63">
        <v>4140.4</v>
      </c>
      <c r="CX15" s="63">
        <v>4264.0</v>
      </c>
      <c r="CY15" s="63">
        <v>4377.7</v>
      </c>
    </row>
    <row r="16">
      <c r="A16" s="58">
        <v>9.0</v>
      </c>
      <c r="B16" s="58" t="s">
        <v>46</v>
      </c>
      <c r="C16" s="58"/>
      <c r="D16" s="58" t="s">
        <v>40</v>
      </c>
      <c r="E16" s="58"/>
      <c r="F16" s="58" t="s">
        <v>40</v>
      </c>
      <c r="G16" s="58"/>
      <c r="H16" s="58" t="s">
        <v>40</v>
      </c>
      <c r="I16" s="58"/>
      <c r="J16" s="58" t="s">
        <v>40</v>
      </c>
      <c r="K16" s="58" t="s">
        <v>40</v>
      </c>
      <c r="L16" s="58" t="s">
        <v>40</v>
      </c>
      <c r="M16" s="58" t="s">
        <v>40</v>
      </c>
      <c r="N16" s="58" t="s">
        <v>40</v>
      </c>
      <c r="O16" s="58" t="s">
        <v>40</v>
      </c>
      <c r="P16" s="58" t="s">
        <v>40</v>
      </c>
      <c r="Q16" s="58" t="s">
        <v>40</v>
      </c>
      <c r="R16" s="58" t="s">
        <v>40</v>
      </c>
      <c r="S16" s="58" t="s">
        <v>40</v>
      </c>
      <c r="T16" s="58" t="s">
        <v>40</v>
      </c>
      <c r="U16" s="58" t="s">
        <v>40</v>
      </c>
      <c r="V16" s="58" t="s">
        <v>40</v>
      </c>
      <c r="W16" s="58" t="s">
        <v>40</v>
      </c>
      <c r="X16" s="58" t="s">
        <v>40</v>
      </c>
      <c r="Y16" s="58" t="s">
        <v>40</v>
      </c>
      <c r="Z16" s="58" t="s">
        <v>40</v>
      </c>
      <c r="AA16" s="58" t="s">
        <v>40</v>
      </c>
      <c r="AB16" s="58" t="s">
        <v>40</v>
      </c>
      <c r="AC16" s="58" t="s">
        <v>40</v>
      </c>
      <c r="AD16" s="58" t="s">
        <v>40</v>
      </c>
      <c r="AE16" s="58" t="s">
        <v>40</v>
      </c>
      <c r="AF16" s="58" t="s">
        <v>40</v>
      </c>
      <c r="AG16" s="58" t="s">
        <v>40</v>
      </c>
      <c r="AH16" s="58" t="s">
        <v>40</v>
      </c>
      <c r="AI16" s="58" t="s">
        <v>40</v>
      </c>
      <c r="AJ16" s="58" t="s">
        <v>40</v>
      </c>
      <c r="AK16" s="58" t="s">
        <v>40</v>
      </c>
      <c r="AL16" s="58" t="s">
        <v>40</v>
      </c>
      <c r="AM16" s="58" t="s">
        <v>40</v>
      </c>
      <c r="AN16" s="58" t="s">
        <v>40</v>
      </c>
      <c r="AO16" s="58" t="s">
        <v>40</v>
      </c>
      <c r="AP16" s="58" t="s">
        <v>40</v>
      </c>
      <c r="AQ16" s="58" t="s">
        <v>40</v>
      </c>
      <c r="AR16" s="58" t="s">
        <v>40</v>
      </c>
      <c r="AS16" s="58" t="s">
        <v>40</v>
      </c>
      <c r="AT16" s="58" t="s">
        <v>40</v>
      </c>
      <c r="AU16" s="58" t="s">
        <v>40</v>
      </c>
      <c r="AV16" s="58" t="s">
        <v>40</v>
      </c>
      <c r="AW16" s="58" t="s">
        <v>40</v>
      </c>
      <c r="AX16" s="58" t="s">
        <v>40</v>
      </c>
      <c r="AY16" s="58" t="s">
        <v>40</v>
      </c>
      <c r="AZ16" s="58" t="s">
        <v>40</v>
      </c>
      <c r="BA16" s="58" t="s">
        <v>40</v>
      </c>
      <c r="BB16" s="58" t="s">
        <v>40</v>
      </c>
      <c r="BC16" s="58" t="s">
        <v>40</v>
      </c>
      <c r="BD16" s="58" t="s">
        <v>40</v>
      </c>
      <c r="BE16" s="58" t="s">
        <v>40</v>
      </c>
      <c r="BF16" s="58" t="s">
        <v>40</v>
      </c>
      <c r="BG16" s="58" t="s">
        <v>40</v>
      </c>
      <c r="BH16" s="58" t="s">
        <v>40</v>
      </c>
      <c r="BI16" s="58" t="s">
        <v>40</v>
      </c>
      <c r="BJ16" s="58" t="s">
        <v>40</v>
      </c>
      <c r="BK16" s="58" t="s">
        <v>40</v>
      </c>
      <c r="BL16" s="58" t="s">
        <v>40</v>
      </c>
      <c r="BM16" s="58" t="s">
        <v>40</v>
      </c>
      <c r="BN16" s="58" t="s">
        <v>40</v>
      </c>
      <c r="BO16" s="58" t="s">
        <v>40</v>
      </c>
      <c r="BP16" s="58" t="s">
        <v>40</v>
      </c>
      <c r="BQ16" s="58" t="s">
        <v>40</v>
      </c>
      <c r="BR16" s="58" t="s">
        <v>40</v>
      </c>
      <c r="BS16" s="58" t="s">
        <v>40</v>
      </c>
      <c r="BT16" s="58" t="s">
        <v>40</v>
      </c>
      <c r="BU16" s="58" t="s">
        <v>40</v>
      </c>
      <c r="BV16" s="58" t="s">
        <v>40</v>
      </c>
      <c r="BW16" s="58" t="s">
        <v>40</v>
      </c>
      <c r="BX16" s="58" t="s">
        <v>40</v>
      </c>
      <c r="BY16" s="58" t="s">
        <v>40</v>
      </c>
      <c r="BZ16" s="58" t="s">
        <v>40</v>
      </c>
      <c r="CA16" s="58" t="s">
        <v>40</v>
      </c>
      <c r="CB16" s="58" t="s">
        <v>40</v>
      </c>
      <c r="CC16" s="58" t="s">
        <v>40</v>
      </c>
      <c r="CD16" s="58" t="s">
        <v>40</v>
      </c>
      <c r="CE16" s="58" t="s">
        <v>40</v>
      </c>
      <c r="CF16" s="58" t="s">
        <v>40</v>
      </c>
      <c r="CG16" s="63">
        <v>1996.1</v>
      </c>
      <c r="CH16" s="63">
        <v>2008.3</v>
      </c>
      <c r="CI16" s="63">
        <v>1716.4</v>
      </c>
      <c r="CJ16" s="63">
        <v>1794.3</v>
      </c>
      <c r="CK16" s="63">
        <v>1951.3</v>
      </c>
      <c r="CL16" s="63">
        <v>2137.1</v>
      </c>
      <c r="CM16" s="63">
        <v>2238.6</v>
      </c>
      <c r="CN16" s="63">
        <v>2421.1</v>
      </c>
      <c r="CO16" s="63">
        <v>2498.9</v>
      </c>
      <c r="CP16" s="63">
        <v>2544.8</v>
      </c>
      <c r="CQ16" s="63">
        <v>2661.1</v>
      </c>
      <c r="CR16" s="63">
        <v>2844.3</v>
      </c>
      <c r="CS16" s="63">
        <v>2952.2</v>
      </c>
      <c r="CT16" s="63">
        <v>2817.8</v>
      </c>
      <c r="CU16" s="63">
        <v>2993.0</v>
      </c>
      <c r="CV16" s="63">
        <v>3187.4</v>
      </c>
      <c r="CW16" s="63">
        <v>3418.6</v>
      </c>
      <c r="CX16" s="63">
        <v>3518.9</v>
      </c>
      <c r="CY16" s="63">
        <v>3662.7</v>
      </c>
    </row>
    <row r="17">
      <c r="A17" s="58">
        <v>10.0</v>
      </c>
      <c r="B17" s="58" t="s">
        <v>47</v>
      </c>
      <c r="C17" s="58"/>
      <c r="D17" s="58" t="s">
        <v>40</v>
      </c>
      <c r="E17" s="58"/>
      <c r="F17" s="58" t="s">
        <v>40</v>
      </c>
      <c r="G17" s="58"/>
      <c r="H17" s="58" t="s">
        <v>40</v>
      </c>
      <c r="I17" s="58"/>
      <c r="J17" s="58" t="s">
        <v>40</v>
      </c>
      <c r="K17" s="58" t="s">
        <v>40</v>
      </c>
      <c r="L17" s="58" t="s">
        <v>40</v>
      </c>
      <c r="M17" s="58" t="s">
        <v>40</v>
      </c>
      <c r="N17" s="58" t="s">
        <v>40</v>
      </c>
      <c r="O17" s="58" t="s">
        <v>40</v>
      </c>
      <c r="P17" s="58" t="s">
        <v>40</v>
      </c>
      <c r="Q17" s="58" t="s">
        <v>40</v>
      </c>
      <c r="R17" s="58" t="s">
        <v>40</v>
      </c>
      <c r="S17" s="58" t="s">
        <v>40</v>
      </c>
      <c r="T17" s="58" t="s">
        <v>40</v>
      </c>
      <c r="U17" s="58" t="s">
        <v>40</v>
      </c>
      <c r="V17" s="58" t="s">
        <v>40</v>
      </c>
      <c r="W17" s="58" t="s">
        <v>40</v>
      </c>
      <c r="X17" s="58" t="s">
        <v>40</v>
      </c>
      <c r="Y17" s="58" t="s">
        <v>40</v>
      </c>
      <c r="Z17" s="58" t="s">
        <v>40</v>
      </c>
      <c r="AA17" s="58" t="s">
        <v>40</v>
      </c>
      <c r="AB17" s="58" t="s">
        <v>40</v>
      </c>
      <c r="AC17" s="58" t="s">
        <v>40</v>
      </c>
      <c r="AD17" s="58" t="s">
        <v>40</v>
      </c>
      <c r="AE17" s="58" t="s">
        <v>40</v>
      </c>
      <c r="AF17" s="58" t="s">
        <v>40</v>
      </c>
      <c r="AG17" s="58" t="s">
        <v>40</v>
      </c>
      <c r="AH17" s="58" t="s">
        <v>40</v>
      </c>
      <c r="AI17" s="58" t="s">
        <v>40</v>
      </c>
      <c r="AJ17" s="58" t="s">
        <v>40</v>
      </c>
      <c r="AK17" s="58" t="s">
        <v>40</v>
      </c>
      <c r="AL17" s="58" t="s">
        <v>40</v>
      </c>
      <c r="AM17" s="58" t="s">
        <v>40</v>
      </c>
      <c r="AN17" s="58" t="s">
        <v>40</v>
      </c>
      <c r="AO17" s="58" t="s">
        <v>40</v>
      </c>
      <c r="AP17" s="58" t="s">
        <v>40</v>
      </c>
      <c r="AQ17" s="58" t="s">
        <v>40</v>
      </c>
      <c r="AR17" s="58" t="s">
        <v>40</v>
      </c>
      <c r="AS17" s="58" t="s">
        <v>40</v>
      </c>
      <c r="AT17" s="58" t="s">
        <v>40</v>
      </c>
      <c r="AU17" s="58" t="s">
        <v>40</v>
      </c>
      <c r="AV17" s="58" t="s">
        <v>40</v>
      </c>
      <c r="AW17" s="58" t="s">
        <v>40</v>
      </c>
      <c r="AX17" s="58" t="s">
        <v>40</v>
      </c>
      <c r="AY17" s="58" t="s">
        <v>40</v>
      </c>
      <c r="AZ17" s="58" t="s">
        <v>40</v>
      </c>
      <c r="BA17" s="58" t="s">
        <v>40</v>
      </c>
      <c r="BB17" s="58" t="s">
        <v>40</v>
      </c>
      <c r="BC17" s="58" t="s">
        <v>40</v>
      </c>
      <c r="BD17" s="58" t="s">
        <v>40</v>
      </c>
      <c r="BE17" s="58" t="s">
        <v>40</v>
      </c>
      <c r="BF17" s="58" t="s">
        <v>40</v>
      </c>
      <c r="BG17" s="58" t="s">
        <v>40</v>
      </c>
      <c r="BH17" s="58" t="s">
        <v>40</v>
      </c>
      <c r="BI17" s="58" t="s">
        <v>40</v>
      </c>
      <c r="BJ17" s="58" t="s">
        <v>40</v>
      </c>
      <c r="BK17" s="58" t="s">
        <v>40</v>
      </c>
      <c r="BL17" s="58" t="s">
        <v>40</v>
      </c>
      <c r="BM17" s="58" t="s">
        <v>40</v>
      </c>
      <c r="BN17" s="58" t="s">
        <v>40</v>
      </c>
      <c r="BO17" s="58" t="s">
        <v>40</v>
      </c>
      <c r="BP17" s="58" t="s">
        <v>40</v>
      </c>
      <c r="BQ17" s="58" t="s">
        <v>40</v>
      </c>
      <c r="BR17" s="58" t="s">
        <v>40</v>
      </c>
      <c r="BS17" s="58" t="s">
        <v>40</v>
      </c>
      <c r="BT17" s="58" t="s">
        <v>40</v>
      </c>
      <c r="BU17" s="58" t="s">
        <v>40</v>
      </c>
      <c r="BV17" s="58" t="s">
        <v>40</v>
      </c>
      <c r="BW17" s="58" t="s">
        <v>40</v>
      </c>
      <c r="BX17" s="58" t="s">
        <v>40</v>
      </c>
      <c r="BY17" s="58" t="s">
        <v>40</v>
      </c>
      <c r="BZ17" s="58" t="s">
        <v>40</v>
      </c>
      <c r="CA17" s="58" t="s">
        <v>40</v>
      </c>
      <c r="CB17" s="58" t="s">
        <v>40</v>
      </c>
      <c r="CC17" s="58" t="s">
        <v>40</v>
      </c>
      <c r="CD17" s="58" t="s">
        <v>40</v>
      </c>
      <c r="CE17" s="58" t="s">
        <v>40</v>
      </c>
      <c r="CF17" s="58" t="s">
        <v>40</v>
      </c>
      <c r="CG17" s="63">
        <v>625.5</v>
      </c>
      <c r="CH17" s="63">
        <v>666.0</v>
      </c>
      <c r="CI17" s="63">
        <v>541.4</v>
      </c>
      <c r="CJ17" s="63">
        <v>454.8</v>
      </c>
      <c r="CK17" s="63">
        <v>469.0</v>
      </c>
      <c r="CL17" s="63">
        <v>531.5</v>
      </c>
      <c r="CM17" s="63">
        <v>537.3</v>
      </c>
      <c r="CN17" s="63">
        <v>597.2</v>
      </c>
      <c r="CO17" s="63">
        <v>598.2</v>
      </c>
      <c r="CP17" s="63">
        <v>579.7</v>
      </c>
      <c r="CQ17" s="63">
        <v>594.9</v>
      </c>
      <c r="CR17" s="63">
        <v>629.2</v>
      </c>
      <c r="CS17" s="63">
        <v>644.0</v>
      </c>
      <c r="CT17" s="63">
        <v>584.6</v>
      </c>
      <c r="CU17" s="63">
        <v>568.6</v>
      </c>
      <c r="CV17" s="63">
        <v>588.2</v>
      </c>
      <c r="CW17" s="63">
        <v>686.4</v>
      </c>
      <c r="CX17" s="63">
        <v>694.0</v>
      </c>
      <c r="CY17" s="63">
        <v>657.3</v>
      </c>
    </row>
    <row r="18">
      <c r="A18" s="58">
        <v>11.0</v>
      </c>
      <c r="B18" s="58" t="s">
        <v>48</v>
      </c>
      <c r="C18" s="58"/>
      <c r="D18" s="58" t="s">
        <v>40</v>
      </c>
      <c r="E18" s="58"/>
      <c r="F18" s="58" t="s">
        <v>40</v>
      </c>
      <c r="G18" s="58"/>
      <c r="H18" s="58" t="s">
        <v>40</v>
      </c>
      <c r="I18" s="58"/>
      <c r="J18" s="58" t="s">
        <v>40</v>
      </c>
      <c r="K18" s="58" t="s">
        <v>40</v>
      </c>
      <c r="L18" s="58" t="s">
        <v>40</v>
      </c>
      <c r="M18" s="58" t="s">
        <v>40</v>
      </c>
      <c r="N18" s="58" t="s">
        <v>40</v>
      </c>
      <c r="O18" s="58" t="s">
        <v>40</v>
      </c>
      <c r="P18" s="58" t="s">
        <v>40</v>
      </c>
      <c r="Q18" s="58" t="s">
        <v>40</v>
      </c>
      <c r="R18" s="58" t="s">
        <v>40</v>
      </c>
      <c r="S18" s="58" t="s">
        <v>40</v>
      </c>
      <c r="T18" s="58" t="s">
        <v>40</v>
      </c>
      <c r="U18" s="58" t="s">
        <v>40</v>
      </c>
      <c r="V18" s="58" t="s">
        <v>40</v>
      </c>
      <c r="W18" s="58" t="s">
        <v>40</v>
      </c>
      <c r="X18" s="58" t="s">
        <v>40</v>
      </c>
      <c r="Y18" s="58" t="s">
        <v>40</v>
      </c>
      <c r="Z18" s="58" t="s">
        <v>40</v>
      </c>
      <c r="AA18" s="58" t="s">
        <v>40</v>
      </c>
      <c r="AB18" s="58" t="s">
        <v>40</v>
      </c>
      <c r="AC18" s="58" t="s">
        <v>40</v>
      </c>
      <c r="AD18" s="58" t="s">
        <v>40</v>
      </c>
      <c r="AE18" s="58" t="s">
        <v>40</v>
      </c>
      <c r="AF18" s="58" t="s">
        <v>40</v>
      </c>
      <c r="AG18" s="58" t="s">
        <v>40</v>
      </c>
      <c r="AH18" s="58" t="s">
        <v>40</v>
      </c>
      <c r="AI18" s="58" t="s">
        <v>40</v>
      </c>
      <c r="AJ18" s="58" t="s">
        <v>40</v>
      </c>
      <c r="AK18" s="58" t="s">
        <v>40</v>
      </c>
      <c r="AL18" s="58" t="s">
        <v>40</v>
      </c>
      <c r="AM18" s="58" t="s">
        <v>40</v>
      </c>
      <c r="AN18" s="58" t="s">
        <v>40</v>
      </c>
      <c r="AO18" s="58" t="s">
        <v>40</v>
      </c>
      <c r="AP18" s="58" t="s">
        <v>40</v>
      </c>
      <c r="AQ18" s="58" t="s">
        <v>40</v>
      </c>
      <c r="AR18" s="58" t="s">
        <v>40</v>
      </c>
      <c r="AS18" s="58" t="s">
        <v>40</v>
      </c>
      <c r="AT18" s="58" t="s">
        <v>40</v>
      </c>
      <c r="AU18" s="58" t="s">
        <v>40</v>
      </c>
      <c r="AV18" s="58" t="s">
        <v>40</v>
      </c>
      <c r="AW18" s="58" t="s">
        <v>40</v>
      </c>
      <c r="AX18" s="58" t="s">
        <v>40</v>
      </c>
      <c r="AY18" s="58" t="s">
        <v>40</v>
      </c>
      <c r="AZ18" s="58" t="s">
        <v>40</v>
      </c>
      <c r="BA18" s="58" t="s">
        <v>40</v>
      </c>
      <c r="BB18" s="58" t="s">
        <v>40</v>
      </c>
      <c r="BC18" s="58" t="s">
        <v>40</v>
      </c>
      <c r="BD18" s="58" t="s">
        <v>40</v>
      </c>
      <c r="BE18" s="58" t="s">
        <v>40</v>
      </c>
      <c r="BF18" s="58" t="s">
        <v>40</v>
      </c>
      <c r="BG18" s="58" t="s">
        <v>40</v>
      </c>
      <c r="BH18" s="58" t="s">
        <v>40</v>
      </c>
      <c r="BI18" s="58" t="s">
        <v>40</v>
      </c>
      <c r="BJ18" s="58" t="s">
        <v>40</v>
      </c>
      <c r="BK18" s="58" t="s">
        <v>40</v>
      </c>
      <c r="BL18" s="58" t="s">
        <v>40</v>
      </c>
      <c r="BM18" s="58" t="s">
        <v>40</v>
      </c>
      <c r="BN18" s="58" t="s">
        <v>40</v>
      </c>
      <c r="BO18" s="58" t="s">
        <v>40</v>
      </c>
      <c r="BP18" s="58" t="s">
        <v>40</v>
      </c>
      <c r="BQ18" s="58" t="s">
        <v>40</v>
      </c>
      <c r="BR18" s="58" t="s">
        <v>40</v>
      </c>
      <c r="BS18" s="58" t="s">
        <v>40</v>
      </c>
      <c r="BT18" s="58" t="s">
        <v>40</v>
      </c>
      <c r="BU18" s="58" t="s">
        <v>40</v>
      </c>
      <c r="BV18" s="58" t="s">
        <v>40</v>
      </c>
      <c r="BW18" s="58" t="s">
        <v>40</v>
      </c>
      <c r="BX18" s="58" t="s">
        <v>40</v>
      </c>
      <c r="BY18" s="58" t="s">
        <v>40</v>
      </c>
      <c r="BZ18" s="58" t="s">
        <v>40</v>
      </c>
      <c r="CA18" s="58" t="s">
        <v>40</v>
      </c>
      <c r="CB18" s="58" t="s">
        <v>40</v>
      </c>
      <c r="CC18" s="58" t="s">
        <v>40</v>
      </c>
      <c r="CD18" s="58" t="s">
        <v>40</v>
      </c>
      <c r="CE18" s="58" t="s">
        <v>40</v>
      </c>
      <c r="CF18" s="58" t="s">
        <v>40</v>
      </c>
      <c r="CG18" s="63">
        <v>839.9</v>
      </c>
      <c r="CH18" s="63">
        <v>799.7</v>
      </c>
      <c r="CI18" s="63">
        <v>630.2</v>
      </c>
      <c r="CJ18" s="63">
        <v>757.8</v>
      </c>
      <c r="CK18" s="63">
        <v>859.6</v>
      </c>
      <c r="CL18" s="63">
        <v>953.9</v>
      </c>
      <c r="CM18" s="63">
        <v>1006.5</v>
      </c>
      <c r="CN18" s="63">
        <v>1086.0</v>
      </c>
      <c r="CO18" s="63">
        <v>1127.2</v>
      </c>
      <c r="CP18" s="63">
        <v>1117.5</v>
      </c>
      <c r="CQ18" s="63">
        <v>1160.0</v>
      </c>
      <c r="CR18" s="63">
        <v>1228.6</v>
      </c>
      <c r="CS18" s="63">
        <v>1241.1</v>
      </c>
      <c r="CT18" s="63">
        <v>1118.5</v>
      </c>
      <c r="CU18" s="63">
        <v>1197.4</v>
      </c>
      <c r="CV18" s="63">
        <v>1231.1</v>
      </c>
      <c r="CW18" s="63">
        <v>1267.0</v>
      </c>
      <c r="CX18" s="63">
        <v>1311.5</v>
      </c>
      <c r="CY18" s="63">
        <v>1420.1</v>
      </c>
    </row>
    <row r="19">
      <c r="A19" s="58">
        <v>12.0</v>
      </c>
      <c r="B19" s="58" t="s">
        <v>49</v>
      </c>
      <c r="C19" s="58"/>
      <c r="D19" s="58" t="s">
        <v>40</v>
      </c>
      <c r="E19" s="58"/>
      <c r="F19" s="58" t="s">
        <v>40</v>
      </c>
      <c r="G19" s="58"/>
      <c r="H19" s="58" t="s">
        <v>40</v>
      </c>
      <c r="I19" s="58"/>
      <c r="J19" s="58" t="s">
        <v>40</v>
      </c>
      <c r="K19" s="58" t="s">
        <v>40</v>
      </c>
      <c r="L19" s="58" t="s">
        <v>40</v>
      </c>
      <c r="M19" s="58" t="s">
        <v>40</v>
      </c>
      <c r="N19" s="58" t="s">
        <v>40</v>
      </c>
      <c r="O19" s="58" t="s">
        <v>40</v>
      </c>
      <c r="P19" s="58" t="s">
        <v>40</v>
      </c>
      <c r="Q19" s="58" t="s">
        <v>40</v>
      </c>
      <c r="R19" s="58" t="s">
        <v>40</v>
      </c>
      <c r="S19" s="58" t="s">
        <v>40</v>
      </c>
      <c r="T19" s="58" t="s">
        <v>40</v>
      </c>
      <c r="U19" s="58" t="s">
        <v>40</v>
      </c>
      <c r="V19" s="58" t="s">
        <v>40</v>
      </c>
      <c r="W19" s="58" t="s">
        <v>40</v>
      </c>
      <c r="X19" s="58" t="s">
        <v>40</v>
      </c>
      <c r="Y19" s="58" t="s">
        <v>40</v>
      </c>
      <c r="Z19" s="58" t="s">
        <v>40</v>
      </c>
      <c r="AA19" s="58" t="s">
        <v>40</v>
      </c>
      <c r="AB19" s="58" t="s">
        <v>40</v>
      </c>
      <c r="AC19" s="58" t="s">
        <v>40</v>
      </c>
      <c r="AD19" s="58" t="s">
        <v>40</v>
      </c>
      <c r="AE19" s="58" t="s">
        <v>40</v>
      </c>
      <c r="AF19" s="58" t="s">
        <v>40</v>
      </c>
      <c r="AG19" s="58" t="s">
        <v>40</v>
      </c>
      <c r="AH19" s="58" t="s">
        <v>40</v>
      </c>
      <c r="AI19" s="58" t="s">
        <v>40</v>
      </c>
      <c r="AJ19" s="58" t="s">
        <v>40</v>
      </c>
      <c r="AK19" s="58" t="s">
        <v>40</v>
      </c>
      <c r="AL19" s="58" t="s">
        <v>40</v>
      </c>
      <c r="AM19" s="58" t="s">
        <v>40</v>
      </c>
      <c r="AN19" s="58" t="s">
        <v>40</v>
      </c>
      <c r="AO19" s="58" t="s">
        <v>40</v>
      </c>
      <c r="AP19" s="58" t="s">
        <v>40</v>
      </c>
      <c r="AQ19" s="58" t="s">
        <v>40</v>
      </c>
      <c r="AR19" s="58" t="s">
        <v>40</v>
      </c>
      <c r="AS19" s="58" t="s">
        <v>40</v>
      </c>
      <c r="AT19" s="58" t="s">
        <v>40</v>
      </c>
      <c r="AU19" s="58" t="s">
        <v>40</v>
      </c>
      <c r="AV19" s="58" t="s">
        <v>40</v>
      </c>
      <c r="AW19" s="58" t="s">
        <v>40</v>
      </c>
      <c r="AX19" s="58" t="s">
        <v>40</v>
      </c>
      <c r="AY19" s="58" t="s">
        <v>40</v>
      </c>
      <c r="AZ19" s="58" t="s">
        <v>40</v>
      </c>
      <c r="BA19" s="58" t="s">
        <v>40</v>
      </c>
      <c r="BB19" s="58" t="s">
        <v>40</v>
      </c>
      <c r="BC19" s="58" t="s">
        <v>40</v>
      </c>
      <c r="BD19" s="58" t="s">
        <v>40</v>
      </c>
      <c r="BE19" s="58" t="s">
        <v>40</v>
      </c>
      <c r="BF19" s="58" t="s">
        <v>40</v>
      </c>
      <c r="BG19" s="58" t="s">
        <v>40</v>
      </c>
      <c r="BH19" s="58" t="s">
        <v>40</v>
      </c>
      <c r="BI19" s="58" t="s">
        <v>40</v>
      </c>
      <c r="BJ19" s="58" t="s">
        <v>40</v>
      </c>
      <c r="BK19" s="58" t="s">
        <v>40</v>
      </c>
      <c r="BL19" s="58" t="s">
        <v>40</v>
      </c>
      <c r="BM19" s="58" t="s">
        <v>40</v>
      </c>
      <c r="BN19" s="58" t="s">
        <v>40</v>
      </c>
      <c r="BO19" s="58" t="s">
        <v>40</v>
      </c>
      <c r="BP19" s="58" t="s">
        <v>40</v>
      </c>
      <c r="BQ19" s="58" t="s">
        <v>40</v>
      </c>
      <c r="BR19" s="58" t="s">
        <v>40</v>
      </c>
      <c r="BS19" s="58" t="s">
        <v>40</v>
      </c>
      <c r="BT19" s="58" t="s">
        <v>40</v>
      </c>
      <c r="BU19" s="58" t="s">
        <v>40</v>
      </c>
      <c r="BV19" s="58" t="s">
        <v>40</v>
      </c>
      <c r="BW19" s="58" t="s">
        <v>40</v>
      </c>
      <c r="BX19" s="58" t="s">
        <v>40</v>
      </c>
      <c r="BY19" s="58" t="s">
        <v>40</v>
      </c>
      <c r="BZ19" s="58" t="s">
        <v>40</v>
      </c>
      <c r="CA19" s="58" t="s">
        <v>40</v>
      </c>
      <c r="CB19" s="58" t="s">
        <v>40</v>
      </c>
      <c r="CC19" s="58" t="s">
        <v>40</v>
      </c>
      <c r="CD19" s="58" t="s">
        <v>40</v>
      </c>
      <c r="CE19" s="58" t="s">
        <v>40</v>
      </c>
      <c r="CF19" s="58" t="s">
        <v>40</v>
      </c>
      <c r="CG19" s="63">
        <v>552.7</v>
      </c>
      <c r="CH19" s="63">
        <v>573.7</v>
      </c>
      <c r="CI19" s="63">
        <v>570.8</v>
      </c>
      <c r="CJ19" s="63">
        <v>586.4</v>
      </c>
      <c r="CK19" s="63">
        <v>622.9</v>
      </c>
      <c r="CL19" s="63">
        <v>653.8</v>
      </c>
      <c r="CM19" s="63">
        <v>695.0</v>
      </c>
      <c r="CN19" s="63">
        <v>739.1</v>
      </c>
      <c r="CO19" s="63">
        <v>774.0</v>
      </c>
      <c r="CP19" s="63">
        <v>847.6</v>
      </c>
      <c r="CQ19" s="63">
        <v>906.2</v>
      </c>
      <c r="CR19" s="63">
        <v>986.5</v>
      </c>
      <c r="CS19" s="63">
        <v>1067.0</v>
      </c>
      <c r="CT19" s="63">
        <v>1115.1</v>
      </c>
      <c r="CU19" s="63">
        <v>1230.9</v>
      </c>
      <c r="CV19" s="63">
        <v>1374.9</v>
      </c>
      <c r="CW19" s="63">
        <v>1460.0</v>
      </c>
      <c r="CX19" s="63">
        <v>1511.0</v>
      </c>
      <c r="CY19" s="63">
        <v>1596.6</v>
      </c>
    </row>
    <row r="20">
      <c r="A20" s="58">
        <v>13.0</v>
      </c>
      <c r="B20" s="58" t="s">
        <v>50</v>
      </c>
      <c r="C20" s="58"/>
      <c r="D20" s="58" t="s">
        <v>40</v>
      </c>
      <c r="E20" s="58"/>
      <c r="F20" s="58" t="s">
        <v>40</v>
      </c>
      <c r="G20" s="58"/>
      <c r="H20" s="58" t="s">
        <v>40</v>
      </c>
      <c r="I20" s="58"/>
      <c r="J20" s="58" t="s">
        <v>40</v>
      </c>
      <c r="K20" s="58" t="s">
        <v>40</v>
      </c>
      <c r="L20" s="58" t="s">
        <v>40</v>
      </c>
      <c r="M20" s="58" t="s">
        <v>40</v>
      </c>
      <c r="N20" s="58" t="s">
        <v>40</v>
      </c>
      <c r="O20" s="58" t="s">
        <v>40</v>
      </c>
      <c r="P20" s="58" t="s">
        <v>40</v>
      </c>
      <c r="Q20" s="58" t="s">
        <v>40</v>
      </c>
      <c r="R20" s="58" t="s">
        <v>40</v>
      </c>
      <c r="S20" s="58" t="s">
        <v>40</v>
      </c>
      <c r="T20" s="58" t="s">
        <v>40</v>
      </c>
      <c r="U20" s="58" t="s">
        <v>40</v>
      </c>
      <c r="V20" s="58" t="s">
        <v>40</v>
      </c>
      <c r="W20" s="58" t="s">
        <v>40</v>
      </c>
      <c r="X20" s="58" t="s">
        <v>40</v>
      </c>
      <c r="Y20" s="58" t="s">
        <v>40</v>
      </c>
      <c r="Z20" s="58" t="s">
        <v>40</v>
      </c>
      <c r="AA20" s="58" t="s">
        <v>40</v>
      </c>
      <c r="AB20" s="58" t="s">
        <v>40</v>
      </c>
      <c r="AC20" s="58" t="s">
        <v>40</v>
      </c>
      <c r="AD20" s="58" t="s">
        <v>40</v>
      </c>
      <c r="AE20" s="58" t="s">
        <v>40</v>
      </c>
      <c r="AF20" s="58" t="s">
        <v>40</v>
      </c>
      <c r="AG20" s="58" t="s">
        <v>40</v>
      </c>
      <c r="AH20" s="58" t="s">
        <v>40</v>
      </c>
      <c r="AI20" s="58" t="s">
        <v>40</v>
      </c>
      <c r="AJ20" s="58" t="s">
        <v>40</v>
      </c>
      <c r="AK20" s="58" t="s">
        <v>40</v>
      </c>
      <c r="AL20" s="58" t="s">
        <v>40</v>
      </c>
      <c r="AM20" s="58" t="s">
        <v>40</v>
      </c>
      <c r="AN20" s="58" t="s">
        <v>40</v>
      </c>
      <c r="AO20" s="58" t="s">
        <v>40</v>
      </c>
      <c r="AP20" s="58" t="s">
        <v>40</v>
      </c>
      <c r="AQ20" s="58" t="s">
        <v>40</v>
      </c>
      <c r="AR20" s="58" t="s">
        <v>40</v>
      </c>
      <c r="AS20" s="58" t="s">
        <v>40</v>
      </c>
      <c r="AT20" s="58" t="s">
        <v>40</v>
      </c>
      <c r="AU20" s="58" t="s">
        <v>40</v>
      </c>
      <c r="AV20" s="58" t="s">
        <v>40</v>
      </c>
      <c r="AW20" s="58" t="s">
        <v>40</v>
      </c>
      <c r="AX20" s="58" t="s">
        <v>40</v>
      </c>
      <c r="AY20" s="58" t="s">
        <v>40</v>
      </c>
      <c r="AZ20" s="58" t="s">
        <v>40</v>
      </c>
      <c r="BA20" s="58" t="s">
        <v>40</v>
      </c>
      <c r="BB20" s="58" t="s">
        <v>40</v>
      </c>
      <c r="BC20" s="58" t="s">
        <v>40</v>
      </c>
      <c r="BD20" s="58" t="s">
        <v>40</v>
      </c>
      <c r="BE20" s="58" t="s">
        <v>40</v>
      </c>
      <c r="BF20" s="58" t="s">
        <v>40</v>
      </c>
      <c r="BG20" s="58" t="s">
        <v>40</v>
      </c>
      <c r="BH20" s="58" t="s">
        <v>40</v>
      </c>
      <c r="BI20" s="58" t="s">
        <v>40</v>
      </c>
      <c r="BJ20" s="58" t="s">
        <v>40</v>
      </c>
      <c r="BK20" s="58" t="s">
        <v>40</v>
      </c>
      <c r="BL20" s="58" t="s">
        <v>40</v>
      </c>
      <c r="BM20" s="58" t="s">
        <v>40</v>
      </c>
      <c r="BN20" s="58" t="s">
        <v>40</v>
      </c>
      <c r="BO20" s="58" t="s">
        <v>40</v>
      </c>
      <c r="BP20" s="58" t="s">
        <v>40</v>
      </c>
      <c r="BQ20" s="58" t="s">
        <v>40</v>
      </c>
      <c r="BR20" s="58" t="s">
        <v>40</v>
      </c>
      <c r="BS20" s="58" t="s">
        <v>40</v>
      </c>
      <c r="BT20" s="58" t="s">
        <v>40</v>
      </c>
      <c r="BU20" s="58" t="s">
        <v>40</v>
      </c>
      <c r="BV20" s="58" t="s">
        <v>40</v>
      </c>
      <c r="BW20" s="58" t="s">
        <v>40</v>
      </c>
      <c r="BX20" s="58" t="s">
        <v>40</v>
      </c>
      <c r="BY20" s="58" t="s">
        <v>40</v>
      </c>
      <c r="BZ20" s="58" t="s">
        <v>40</v>
      </c>
      <c r="CA20" s="58" t="s">
        <v>40</v>
      </c>
      <c r="CB20" s="58" t="s">
        <v>40</v>
      </c>
      <c r="CC20" s="58" t="s">
        <v>40</v>
      </c>
      <c r="CD20" s="58" t="s">
        <v>40</v>
      </c>
      <c r="CE20" s="58" t="s">
        <v>40</v>
      </c>
      <c r="CF20" s="58" t="s">
        <v>40</v>
      </c>
      <c r="CG20" s="63">
        <v>821.9</v>
      </c>
      <c r="CH20" s="63">
        <v>623.0</v>
      </c>
      <c r="CI20" s="63">
        <v>487.9</v>
      </c>
      <c r="CJ20" s="63">
        <v>472.8</v>
      </c>
      <c r="CK20" s="63">
        <v>472.2</v>
      </c>
      <c r="CL20" s="63">
        <v>533.3</v>
      </c>
      <c r="CM20" s="63">
        <v>601.1</v>
      </c>
      <c r="CN20" s="63">
        <v>626.8</v>
      </c>
      <c r="CO20" s="63">
        <v>693.2</v>
      </c>
      <c r="CP20" s="63">
        <v>742.2</v>
      </c>
      <c r="CQ20" s="63">
        <v>773.9</v>
      </c>
      <c r="CR20" s="63">
        <v>768.5</v>
      </c>
      <c r="CS20" s="63">
        <v>761.6</v>
      </c>
      <c r="CT20" s="63">
        <v>818.2</v>
      </c>
      <c r="CU20" s="63">
        <v>904.8</v>
      </c>
      <c r="CV20" s="63">
        <v>831.3</v>
      </c>
      <c r="CW20" s="63">
        <v>766.1</v>
      </c>
      <c r="CX20" s="63">
        <v>790.4</v>
      </c>
      <c r="CY20" s="63">
        <v>773.7</v>
      </c>
    </row>
    <row r="21">
      <c r="A21" s="58">
        <v>14.0</v>
      </c>
      <c r="B21" s="58" t="s">
        <v>51</v>
      </c>
      <c r="C21" s="58"/>
      <c r="D21" s="58" t="s">
        <v>40</v>
      </c>
      <c r="E21" s="58"/>
      <c r="F21" s="58" t="s">
        <v>40</v>
      </c>
      <c r="G21" s="58"/>
      <c r="H21" s="58" t="s">
        <v>40</v>
      </c>
      <c r="I21" s="58"/>
      <c r="J21" s="58" t="s">
        <v>40</v>
      </c>
      <c r="K21" s="58" t="s">
        <v>40</v>
      </c>
      <c r="L21" s="58" t="s">
        <v>40</v>
      </c>
      <c r="M21" s="58" t="s">
        <v>40</v>
      </c>
      <c r="N21" s="58" t="s">
        <v>40</v>
      </c>
      <c r="O21" s="58" t="s">
        <v>40</v>
      </c>
      <c r="P21" s="58" t="s">
        <v>40</v>
      </c>
      <c r="Q21" s="58" t="s">
        <v>40</v>
      </c>
      <c r="R21" s="58" t="s">
        <v>40</v>
      </c>
      <c r="S21" s="58" t="s">
        <v>40</v>
      </c>
      <c r="T21" s="58" t="s">
        <v>40</v>
      </c>
      <c r="U21" s="58" t="s">
        <v>40</v>
      </c>
      <c r="V21" s="58" t="s">
        <v>40</v>
      </c>
      <c r="W21" s="58" t="s">
        <v>40</v>
      </c>
      <c r="X21" s="58" t="s">
        <v>40</v>
      </c>
      <c r="Y21" s="58" t="s">
        <v>40</v>
      </c>
      <c r="Z21" s="58" t="s">
        <v>40</v>
      </c>
      <c r="AA21" s="58" t="s">
        <v>40</v>
      </c>
      <c r="AB21" s="58" t="s">
        <v>40</v>
      </c>
      <c r="AC21" s="58" t="s">
        <v>40</v>
      </c>
      <c r="AD21" s="58" t="s">
        <v>40</v>
      </c>
      <c r="AE21" s="58" t="s">
        <v>40</v>
      </c>
      <c r="AF21" s="58" t="s">
        <v>40</v>
      </c>
      <c r="AG21" s="58" t="s">
        <v>40</v>
      </c>
      <c r="AH21" s="58" t="s">
        <v>40</v>
      </c>
      <c r="AI21" s="58" t="s">
        <v>40</v>
      </c>
      <c r="AJ21" s="58" t="s">
        <v>40</v>
      </c>
      <c r="AK21" s="58" t="s">
        <v>40</v>
      </c>
      <c r="AL21" s="58" t="s">
        <v>40</v>
      </c>
      <c r="AM21" s="58" t="s">
        <v>40</v>
      </c>
      <c r="AN21" s="58" t="s">
        <v>40</v>
      </c>
      <c r="AO21" s="58" t="s">
        <v>40</v>
      </c>
      <c r="AP21" s="58" t="s">
        <v>40</v>
      </c>
      <c r="AQ21" s="58" t="s">
        <v>40</v>
      </c>
      <c r="AR21" s="58" t="s">
        <v>40</v>
      </c>
      <c r="AS21" s="58" t="s">
        <v>40</v>
      </c>
      <c r="AT21" s="58" t="s">
        <v>40</v>
      </c>
      <c r="AU21" s="58" t="s">
        <v>40</v>
      </c>
      <c r="AV21" s="58" t="s">
        <v>40</v>
      </c>
      <c r="AW21" s="58" t="s">
        <v>40</v>
      </c>
      <c r="AX21" s="58" t="s">
        <v>40</v>
      </c>
      <c r="AY21" s="58" t="s">
        <v>40</v>
      </c>
      <c r="AZ21" s="58" t="s">
        <v>40</v>
      </c>
      <c r="BA21" s="58" t="s">
        <v>40</v>
      </c>
      <c r="BB21" s="58" t="s">
        <v>40</v>
      </c>
      <c r="BC21" s="58" t="s">
        <v>40</v>
      </c>
      <c r="BD21" s="58" t="s">
        <v>40</v>
      </c>
      <c r="BE21" s="58" t="s">
        <v>40</v>
      </c>
      <c r="BF21" s="58" t="s">
        <v>40</v>
      </c>
      <c r="BG21" s="58" t="s">
        <v>40</v>
      </c>
      <c r="BH21" s="58" t="s">
        <v>40</v>
      </c>
      <c r="BI21" s="58" t="s">
        <v>40</v>
      </c>
      <c r="BJ21" s="58" t="s">
        <v>40</v>
      </c>
      <c r="BK21" s="58" t="s">
        <v>40</v>
      </c>
      <c r="BL21" s="58" t="s">
        <v>40</v>
      </c>
      <c r="BM21" s="58" t="s">
        <v>40</v>
      </c>
      <c r="BN21" s="58" t="s">
        <v>40</v>
      </c>
      <c r="BO21" s="58" t="s">
        <v>40</v>
      </c>
      <c r="BP21" s="58" t="s">
        <v>40</v>
      </c>
      <c r="BQ21" s="58" t="s">
        <v>40</v>
      </c>
      <c r="BR21" s="58" t="s">
        <v>40</v>
      </c>
      <c r="BS21" s="58" t="s">
        <v>40</v>
      </c>
      <c r="BT21" s="58" t="s">
        <v>40</v>
      </c>
      <c r="BU21" s="58" t="s">
        <v>40</v>
      </c>
      <c r="BV21" s="58" t="s">
        <v>40</v>
      </c>
      <c r="BW21" s="58" t="s">
        <v>40</v>
      </c>
      <c r="BX21" s="58" t="s">
        <v>40</v>
      </c>
      <c r="BY21" s="58" t="s">
        <v>40</v>
      </c>
      <c r="BZ21" s="58" t="s">
        <v>40</v>
      </c>
      <c r="CA21" s="58" t="s">
        <v>40</v>
      </c>
      <c r="CB21" s="58" t="s">
        <v>40</v>
      </c>
      <c r="CC21" s="58" t="s">
        <v>40</v>
      </c>
      <c r="CD21" s="58" t="s">
        <v>40</v>
      </c>
      <c r="CE21" s="58" t="s">
        <v>40</v>
      </c>
      <c r="CF21" s="58" t="s">
        <v>40</v>
      </c>
      <c r="CG21" s="63">
        <v>38.0</v>
      </c>
      <c r="CH21" s="63">
        <v>-32.3</v>
      </c>
      <c r="CI21" s="63">
        <v>-170.3</v>
      </c>
      <c r="CJ21" s="63">
        <v>54.4</v>
      </c>
      <c r="CK21" s="63">
        <v>44.4</v>
      </c>
      <c r="CL21" s="63">
        <v>69.2</v>
      </c>
      <c r="CM21" s="63">
        <v>103.5</v>
      </c>
      <c r="CN21" s="63">
        <v>85.1</v>
      </c>
      <c r="CO21" s="63">
        <v>133.6</v>
      </c>
      <c r="CP21" s="63">
        <v>33.4</v>
      </c>
      <c r="CQ21" s="63">
        <v>32.7</v>
      </c>
      <c r="CR21" s="63">
        <v>54.3</v>
      </c>
      <c r="CS21" s="63">
        <v>72.4</v>
      </c>
      <c r="CT21" s="63">
        <v>-24.0</v>
      </c>
      <c r="CU21" s="63">
        <v>23.4</v>
      </c>
      <c r="CV21" s="63">
        <v>145.5</v>
      </c>
      <c r="CW21" s="63">
        <v>47.4</v>
      </c>
      <c r="CX21" s="63">
        <v>43.5</v>
      </c>
      <c r="CY21" s="63">
        <v>30.6</v>
      </c>
    </row>
    <row r="22">
      <c r="A22" s="58">
        <v>15.0</v>
      </c>
      <c r="B22" s="56" t="s">
        <v>52</v>
      </c>
      <c r="C22" s="56"/>
      <c r="D22" s="56" t="s">
        <v>40</v>
      </c>
      <c r="E22" s="56"/>
      <c r="F22" s="56" t="s">
        <v>40</v>
      </c>
      <c r="G22" s="56"/>
      <c r="H22" s="56" t="s">
        <v>40</v>
      </c>
      <c r="I22" s="56"/>
      <c r="J22" s="56" t="s">
        <v>40</v>
      </c>
      <c r="K22" s="56" t="s">
        <v>40</v>
      </c>
      <c r="L22" s="56" t="s">
        <v>40</v>
      </c>
      <c r="M22" s="56" t="s">
        <v>40</v>
      </c>
      <c r="N22" s="56" t="s">
        <v>40</v>
      </c>
      <c r="O22" s="56" t="s">
        <v>40</v>
      </c>
      <c r="P22" s="56" t="s">
        <v>40</v>
      </c>
      <c r="Q22" s="56" t="s">
        <v>40</v>
      </c>
      <c r="R22" s="56" t="s">
        <v>40</v>
      </c>
      <c r="S22" s="56" t="s">
        <v>40</v>
      </c>
      <c r="T22" s="56" t="s">
        <v>40</v>
      </c>
      <c r="U22" s="56" t="s">
        <v>40</v>
      </c>
      <c r="V22" s="56" t="s">
        <v>40</v>
      </c>
      <c r="W22" s="56" t="s">
        <v>40</v>
      </c>
      <c r="X22" s="56" t="s">
        <v>40</v>
      </c>
      <c r="Y22" s="56" t="s">
        <v>40</v>
      </c>
      <c r="Z22" s="56" t="s">
        <v>40</v>
      </c>
      <c r="AA22" s="56" t="s">
        <v>40</v>
      </c>
      <c r="AB22" s="56" t="s">
        <v>40</v>
      </c>
      <c r="AC22" s="56" t="s">
        <v>40</v>
      </c>
      <c r="AD22" s="56" t="s">
        <v>40</v>
      </c>
      <c r="AE22" s="56" t="s">
        <v>40</v>
      </c>
      <c r="AF22" s="56" t="s">
        <v>40</v>
      </c>
      <c r="AG22" s="56" t="s">
        <v>40</v>
      </c>
      <c r="AH22" s="56" t="s">
        <v>40</v>
      </c>
      <c r="AI22" s="56" t="s">
        <v>40</v>
      </c>
      <c r="AJ22" s="56" t="s">
        <v>40</v>
      </c>
      <c r="AK22" s="56" t="s">
        <v>40</v>
      </c>
      <c r="AL22" s="56" t="s">
        <v>40</v>
      </c>
      <c r="AM22" s="56" t="s">
        <v>40</v>
      </c>
      <c r="AN22" s="56" t="s">
        <v>40</v>
      </c>
      <c r="AO22" s="56" t="s">
        <v>40</v>
      </c>
      <c r="AP22" s="56" t="s">
        <v>40</v>
      </c>
      <c r="AQ22" s="56" t="s">
        <v>40</v>
      </c>
      <c r="AR22" s="56" t="s">
        <v>40</v>
      </c>
      <c r="AS22" s="56" t="s">
        <v>40</v>
      </c>
      <c r="AT22" s="56" t="s">
        <v>40</v>
      </c>
      <c r="AU22" s="56" t="s">
        <v>40</v>
      </c>
      <c r="AV22" s="56" t="s">
        <v>40</v>
      </c>
      <c r="AW22" s="56" t="s">
        <v>40</v>
      </c>
      <c r="AX22" s="56" t="s">
        <v>40</v>
      </c>
      <c r="AY22" s="56" t="s">
        <v>40</v>
      </c>
      <c r="AZ22" s="56" t="s">
        <v>40</v>
      </c>
      <c r="BA22" s="56" t="s">
        <v>40</v>
      </c>
      <c r="BB22" s="56" t="s">
        <v>40</v>
      </c>
      <c r="BC22" s="56" t="s">
        <v>40</v>
      </c>
      <c r="BD22" s="56" t="s">
        <v>40</v>
      </c>
      <c r="BE22" s="56" t="s">
        <v>40</v>
      </c>
      <c r="BF22" s="56" t="s">
        <v>40</v>
      </c>
      <c r="BG22" s="56" t="s">
        <v>40</v>
      </c>
      <c r="BH22" s="56" t="s">
        <v>40</v>
      </c>
      <c r="BI22" s="56" t="s">
        <v>40</v>
      </c>
      <c r="BJ22" s="56" t="s">
        <v>40</v>
      </c>
      <c r="BK22" s="56" t="s">
        <v>40</v>
      </c>
      <c r="BL22" s="56" t="s">
        <v>40</v>
      </c>
      <c r="BM22" s="56" t="s">
        <v>40</v>
      </c>
      <c r="BN22" s="56" t="s">
        <v>40</v>
      </c>
      <c r="BO22" s="56" t="s">
        <v>40</v>
      </c>
      <c r="BP22" s="56" t="s">
        <v>40</v>
      </c>
      <c r="BQ22" s="56" t="s">
        <v>40</v>
      </c>
      <c r="BR22" s="56" t="s">
        <v>40</v>
      </c>
      <c r="BS22" s="56" t="s">
        <v>40</v>
      </c>
      <c r="BT22" s="56" t="s">
        <v>40</v>
      </c>
      <c r="BU22" s="56" t="s">
        <v>40</v>
      </c>
      <c r="BV22" s="56" t="s">
        <v>40</v>
      </c>
      <c r="BW22" s="56" t="s">
        <v>40</v>
      </c>
      <c r="BX22" s="56" t="s">
        <v>40</v>
      </c>
      <c r="BY22" s="56" t="s">
        <v>40</v>
      </c>
      <c r="BZ22" s="56" t="s">
        <v>40</v>
      </c>
      <c r="CA22" s="56" t="s">
        <v>40</v>
      </c>
      <c r="CB22" s="56" t="s">
        <v>40</v>
      </c>
      <c r="CC22" s="56" t="s">
        <v>40</v>
      </c>
      <c r="CD22" s="56" t="s">
        <v>40</v>
      </c>
      <c r="CE22" s="56" t="s">
        <v>40</v>
      </c>
      <c r="CF22" s="56" t="s">
        <v>40</v>
      </c>
      <c r="CG22" s="62">
        <v>-630.9</v>
      </c>
      <c r="CH22" s="62">
        <v>-478.8</v>
      </c>
      <c r="CI22" s="62">
        <v>-338.7</v>
      </c>
      <c r="CJ22" s="62">
        <v>-388.0</v>
      </c>
      <c r="CK22" s="62">
        <v>-361.6</v>
      </c>
      <c r="CL22" s="62">
        <v>-338.4</v>
      </c>
      <c r="CM22" s="62">
        <v>-304.3</v>
      </c>
      <c r="CN22" s="62">
        <v>-347.6</v>
      </c>
      <c r="CO22" s="62">
        <v>-476.5</v>
      </c>
      <c r="CP22" s="62">
        <v>-505.8</v>
      </c>
      <c r="CQ22" s="62">
        <v>-543.3</v>
      </c>
      <c r="CR22" s="62">
        <v>-593.5</v>
      </c>
      <c r="CS22" s="62">
        <v>-616.3</v>
      </c>
      <c r="CT22" s="62">
        <v>-655.8</v>
      </c>
      <c r="CU22" s="62">
        <v>-926.4</v>
      </c>
      <c r="CV22" s="62">
        <v>-1024.4</v>
      </c>
      <c r="CW22" s="62">
        <v>-925.2</v>
      </c>
      <c r="CX22" s="62">
        <v>-1032.6</v>
      </c>
      <c r="CY22" s="62">
        <v>-1090.6</v>
      </c>
    </row>
    <row r="23">
      <c r="A23" s="58">
        <v>16.0</v>
      </c>
      <c r="B23" s="58" t="s">
        <v>53</v>
      </c>
      <c r="C23" s="63"/>
      <c r="D23" s="63">
        <v>41.7</v>
      </c>
      <c r="E23" s="63"/>
      <c r="F23" s="63">
        <v>34.5</v>
      </c>
      <c r="G23" s="63"/>
      <c r="H23" s="63">
        <v>28.7</v>
      </c>
      <c r="I23" s="63"/>
      <c r="J23" s="63">
        <v>22.5</v>
      </c>
      <c r="K23" s="63">
        <v>22.6</v>
      </c>
      <c r="L23" s="63">
        <v>25.1</v>
      </c>
      <c r="M23" s="63">
        <v>26.5</v>
      </c>
      <c r="N23" s="63">
        <v>27.8</v>
      </c>
      <c r="O23" s="63">
        <v>35.0</v>
      </c>
      <c r="P23" s="63">
        <v>34.7</v>
      </c>
      <c r="Q23" s="63">
        <v>36.6</v>
      </c>
      <c r="R23" s="63">
        <v>41.6</v>
      </c>
      <c r="S23" s="63">
        <v>42.7</v>
      </c>
      <c r="T23" s="63">
        <v>28.2</v>
      </c>
      <c r="U23" s="63">
        <v>23.7</v>
      </c>
      <c r="V23" s="63">
        <v>25.5</v>
      </c>
      <c r="W23" s="63">
        <v>35.7</v>
      </c>
      <c r="X23" s="63">
        <v>77.2</v>
      </c>
      <c r="Y23" s="63">
        <v>88.0</v>
      </c>
      <c r="Z23" s="63">
        <v>69.3</v>
      </c>
      <c r="AA23" s="63">
        <v>68.7</v>
      </c>
      <c r="AB23" s="63">
        <v>60.2</v>
      </c>
      <c r="AC23" s="63">
        <v>73.7</v>
      </c>
      <c r="AD23" s="63">
        <v>70.5</v>
      </c>
      <c r="AE23" s="63">
        <v>65.8</v>
      </c>
      <c r="AF23" s="63">
        <v>69.0</v>
      </c>
      <c r="AG23" s="63">
        <v>76.4</v>
      </c>
      <c r="AH23" s="63">
        <v>89.0</v>
      </c>
      <c r="AI23" s="63">
        <v>96.7</v>
      </c>
      <c r="AJ23" s="63">
        <v>83.6</v>
      </c>
      <c r="AK23" s="63">
        <v>92.2</v>
      </c>
      <c r="AL23" s="63">
        <v>108.3</v>
      </c>
      <c r="AM23" s="63">
        <v>108.8</v>
      </c>
      <c r="AN23" s="63">
        <v>114.3</v>
      </c>
      <c r="AO23" s="63">
        <v>122.5</v>
      </c>
      <c r="AP23" s="63">
        <v>136.9</v>
      </c>
      <c r="AQ23" s="63">
        <v>140.8</v>
      </c>
      <c r="AR23" s="63">
        <v>150.5</v>
      </c>
      <c r="AS23" s="63">
        <v>153.9</v>
      </c>
      <c r="AT23" s="63">
        <v>166.1</v>
      </c>
      <c r="AU23" s="63">
        <v>174.2</v>
      </c>
      <c r="AV23" s="63">
        <v>192.8</v>
      </c>
      <c r="AW23" s="63">
        <v>196.1</v>
      </c>
      <c r="AX23" s="63">
        <v>211.4</v>
      </c>
      <c r="AY23" s="63">
        <v>251.2</v>
      </c>
      <c r="AZ23" s="63">
        <v>271.1</v>
      </c>
      <c r="BA23" s="63">
        <v>269.4</v>
      </c>
      <c r="BB23" s="63">
        <v>281.1</v>
      </c>
      <c r="BC23" s="63">
        <v>287.9</v>
      </c>
      <c r="BD23" s="63">
        <v>318.3</v>
      </c>
      <c r="BE23" s="63">
        <v>349.8</v>
      </c>
      <c r="BF23" s="63">
        <v>387.5</v>
      </c>
      <c r="BG23" s="63">
        <v>392.2</v>
      </c>
      <c r="BH23" s="63">
        <v>362.2</v>
      </c>
      <c r="BI23" s="63">
        <v>352.8</v>
      </c>
      <c r="BJ23" s="63">
        <v>381.5</v>
      </c>
      <c r="BK23" s="63">
        <v>394.3</v>
      </c>
      <c r="BL23" s="63">
        <v>424.5</v>
      </c>
      <c r="BM23" s="63">
        <v>470.9</v>
      </c>
      <c r="BN23" s="63">
        <v>547.3</v>
      </c>
      <c r="BO23" s="63">
        <v>610.6</v>
      </c>
      <c r="BP23" s="63">
        <v>664.5</v>
      </c>
      <c r="BQ23" s="63">
        <v>708.5</v>
      </c>
      <c r="BR23" s="63">
        <v>757.6</v>
      </c>
      <c r="BS23" s="63">
        <v>782.3</v>
      </c>
      <c r="BT23" s="63">
        <v>851.4</v>
      </c>
      <c r="BU23" s="63">
        <v>938.9</v>
      </c>
      <c r="BV23" s="63">
        <v>1015.7</v>
      </c>
      <c r="BW23" s="63">
        <v>1136.6</v>
      </c>
      <c r="BX23" s="63">
        <v>1163.2</v>
      </c>
      <c r="BY23" s="63">
        <v>1221.1</v>
      </c>
      <c r="BZ23" s="63">
        <v>1322.6</v>
      </c>
      <c r="CA23" s="63">
        <v>1248.8</v>
      </c>
      <c r="CB23" s="63">
        <v>1224.4</v>
      </c>
      <c r="CC23" s="63">
        <v>1250.2</v>
      </c>
      <c r="CD23" s="63">
        <v>1370.8</v>
      </c>
      <c r="CE23" s="63">
        <v>1466.0</v>
      </c>
      <c r="CF23" s="63">
        <v>1604.9</v>
      </c>
      <c r="CG23" s="63">
        <v>1745.5</v>
      </c>
      <c r="CH23" s="63">
        <v>1846.6</v>
      </c>
      <c r="CI23" s="63">
        <v>1693.1</v>
      </c>
      <c r="CJ23" s="63">
        <v>1907.3</v>
      </c>
      <c r="CK23" s="63">
        <v>2044.2</v>
      </c>
      <c r="CL23" s="63">
        <v>2126.3</v>
      </c>
      <c r="CM23" s="63">
        <v>2190.3</v>
      </c>
      <c r="CN23" s="63">
        <v>2275.8</v>
      </c>
      <c r="CO23" s="63">
        <v>2283.1</v>
      </c>
      <c r="CP23" s="63">
        <v>2293.9</v>
      </c>
      <c r="CQ23" s="63">
        <v>2388.3</v>
      </c>
      <c r="CR23" s="63">
        <v>2456.4</v>
      </c>
      <c r="CS23" s="63">
        <v>2469.5</v>
      </c>
      <c r="CT23" s="63">
        <v>2157.8</v>
      </c>
      <c r="CU23" s="63">
        <v>2297.2</v>
      </c>
      <c r="CV23" s="63">
        <v>2472.1</v>
      </c>
      <c r="CW23" s="63">
        <v>2541.0</v>
      </c>
      <c r="CX23" s="63">
        <v>2633.6</v>
      </c>
      <c r="CY23" s="63">
        <v>2675.4</v>
      </c>
    </row>
    <row r="24">
      <c r="A24" s="58">
        <v>17.0</v>
      </c>
      <c r="B24" s="58" t="s">
        <v>39</v>
      </c>
      <c r="C24" s="58"/>
      <c r="D24" s="58" t="s">
        <v>40</v>
      </c>
      <c r="E24" s="58"/>
      <c r="F24" s="58" t="s">
        <v>40</v>
      </c>
      <c r="G24" s="58"/>
      <c r="H24" s="58" t="s">
        <v>40</v>
      </c>
      <c r="I24" s="58"/>
      <c r="J24" s="58" t="s">
        <v>40</v>
      </c>
      <c r="K24" s="58" t="s">
        <v>40</v>
      </c>
      <c r="L24" s="58" t="s">
        <v>40</v>
      </c>
      <c r="M24" s="58" t="s">
        <v>40</v>
      </c>
      <c r="N24" s="58" t="s">
        <v>40</v>
      </c>
      <c r="O24" s="58" t="s">
        <v>40</v>
      </c>
      <c r="P24" s="58" t="s">
        <v>40</v>
      </c>
      <c r="Q24" s="58" t="s">
        <v>40</v>
      </c>
      <c r="R24" s="58" t="s">
        <v>40</v>
      </c>
      <c r="S24" s="58" t="s">
        <v>40</v>
      </c>
      <c r="T24" s="58" t="s">
        <v>40</v>
      </c>
      <c r="U24" s="58" t="s">
        <v>40</v>
      </c>
      <c r="V24" s="58" t="s">
        <v>40</v>
      </c>
      <c r="W24" s="58" t="s">
        <v>40</v>
      </c>
      <c r="X24" s="58" t="s">
        <v>40</v>
      </c>
      <c r="Y24" s="58" t="s">
        <v>40</v>
      </c>
      <c r="Z24" s="58" t="s">
        <v>40</v>
      </c>
      <c r="AA24" s="58" t="s">
        <v>40</v>
      </c>
      <c r="AB24" s="58" t="s">
        <v>40</v>
      </c>
      <c r="AC24" s="58" t="s">
        <v>40</v>
      </c>
      <c r="AD24" s="58" t="s">
        <v>40</v>
      </c>
      <c r="AE24" s="58" t="s">
        <v>40</v>
      </c>
      <c r="AF24" s="58" t="s">
        <v>40</v>
      </c>
      <c r="AG24" s="58" t="s">
        <v>40</v>
      </c>
      <c r="AH24" s="58" t="s">
        <v>40</v>
      </c>
      <c r="AI24" s="58" t="s">
        <v>40</v>
      </c>
      <c r="AJ24" s="58" t="s">
        <v>40</v>
      </c>
      <c r="AK24" s="58" t="s">
        <v>40</v>
      </c>
      <c r="AL24" s="58" t="s">
        <v>40</v>
      </c>
      <c r="AM24" s="58" t="s">
        <v>40</v>
      </c>
      <c r="AN24" s="58" t="s">
        <v>40</v>
      </c>
      <c r="AO24" s="58" t="s">
        <v>40</v>
      </c>
      <c r="AP24" s="58" t="s">
        <v>40</v>
      </c>
      <c r="AQ24" s="58" t="s">
        <v>40</v>
      </c>
      <c r="AR24" s="58" t="s">
        <v>40</v>
      </c>
      <c r="AS24" s="58" t="s">
        <v>40</v>
      </c>
      <c r="AT24" s="58" t="s">
        <v>40</v>
      </c>
      <c r="AU24" s="58" t="s">
        <v>40</v>
      </c>
      <c r="AV24" s="58" t="s">
        <v>40</v>
      </c>
      <c r="AW24" s="58" t="s">
        <v>40</v>
      </c>
      <c r="AX24" s="58" t="s">
        <v>40</v>
      </c>
      <c r="AY24" s="58" t="s">
        <v>40</v>
      </c>
      <c r="AZ24" s="58" t="s">
        <v>40</v>
      </c>
      <c r="BA24" s="58" t="s">
        <v>40</v>
      </c>
      <c r="BB24" s="58" t="s">
        <v>40</v>
      </c>
      <c r="BC24" s="58" t="s">
        <v>40</v>
      </c>
      <c r="BD24" s="58" t="s">
        <v>40</v>
      </c>
      <c r="BE24" s="58" t="s">
        <v>40</v>
      </c>
      <c r="BF24" s="58" t="s">
        <v>40</v>
      </c>
      <c r="BG24" s="58" t="s">
        <v>40</v>
      </c>
      <c r="BH24" s="58" t="s">
        <v>40</v>
      </c>
      <c r="BI24" s="58" t="s">
        <v>40</v>
      </c>
      <c r="BJ24" s="58" t="s">
        <v>40</v>
      </c>
      <c r="BK24" s="58" t="s">
        <v>40</v>
      </c>
      <c r="BL24" s="58" t="s">
        <v>40</v>
      </c>
      <c r="BM24" s="58" t="s">
        <v>40</v>
      </c>
      <c r="BN24" s="58" t="s">
        <v>40</v>
      </c>
      <c r="BO24" s="58" t="s">
        <v>40</v>
      </c>
      <c r="BP24" s="58" t="s">
        <v>40</v>
      </c>
      <c r="BQ24" s="58" t="s">
        <v>40</v>
      </c>
      <c r="BR24" s="58" t="s">
        <v>40</v>
      </c>
      <c r="BS24" s="58" t="s">
        <v>40</v>
      </c>
      <c r="BT24" s="58" t="s">
        <v>40</v>
      </c>
      <c r="BU24" s="58" t="s">
        <v>40</v>
      </c>
      <c r="BV24" s="58" t="s">
        <v>40</v>
      </c>
      <c r="BW24" s="58" t="s">
        <v>40</v>
      </c>
      <c r="BX24" s="58" t="s">
        <v>40</v>
      </c>
      <c r="BY24" s="58" t="s">
        <v>40</v>
      </c>
      <c r="BZ24" s="58" t="s">
        <v>40</v>
      </c>
      <c r="CA24" s="58" t="s">
        <v>40</v>
      </c>
      <c r="CB24" s="58" t="s">
        <v>40</v>
      </c>
      <c r="CC24" s="58" t="s">
        <v>40</v>
      </c>
      <c r="CD24" s="58" t="s">
        <v>40</v>
      </c>
      <c r="CE24" s="58" t="s">
        <v>40</v>
      </c>
      <c r="CF24" s="58" t="s">
        <v>40</v>
      </c>
      <c r="CG24" s="63">
        <v>1146.7</v>
      </c>
      <c r="CH24" s="63">
        <v>1214.0</v>
      </c>
      <c r="CI24" s="63">
        <v>1070.0</v>
      </c>
      <c r="CJ24" s="63">
        <v>1232.4</v>
      </c>
      <c r="CK24" s="63">
        <v>1324.5</v>
      </c>
      <c r="CL24" s="63">
        <v>1376.9</v>
      </c>
      <c r="CM24" s="63">
        <v>1417.3</v>
      </c>
      <c r="CN24" s="63">
        <v>1480.6</v>
      </c>
      <c r="CO24" s="63">
        <v>1475.7</v>
      </c>
      <c r="CP24" s="63">
        <v>1485.2</v>
      </c>
      <c r="CQ24" s="63">
        <v>1546.7</v>
      </c>
      <c r="CR24" s="63">
        <v>1612.1</v>
      </c>
      <c r="CS24" s="63">
        <v>1614.9</v>
      </c>
      <c r="CT24" s="63">
        <v>1452.6</v>
      </c>
      <c r="CU24" s="63">
        <v>1564.2</v>
      </c>
      <c r="CV24" s="63">
        <v>1659.9</v>
      </c>
      <c r="CW24" s="63">
        <v>1696.0</v>
      </c>
      <c r="CX24" s="63">
        <v>1730.6</v>
      </c>
      <c r="CY24" s="63">
        <v>1762.4</v>
      </c>
    </row>
    <row r="25">
      <c r="A25" s="58">
        <v>18.0</v>
      </c>
      <c r="B25" s="58" t="s">
        <v>43</v>
      </c>
      <c r="C25" s="58"/>
      <c r="D25" s="58" t="s">
        <v>40</v>
      </c>
      <c r="E25" s="58"/>
      <c r="F25" s="58" t="s">
        <v>40</v>
      </c>
      <c r="G25" s="58"/>
      <c r="H25" s="58" t="s">
        <v>40</v>
      </c>
      <c r="I25" s="58"/>
      <c r="J25" s="58" t="s">
        <v>40</v>
      </c>
      <c r="K25" s="58" t="s">
        <v>40</v>
      </c>
      <c r="L25" s="58" t="s">
        <v>40</v>
      </c>
      <c r="M25" s="58" t="s">
        <v>40</v>
      </c>
      <c r="N25" s="58" t="s">
        <v>40</v>
      </c>
      <c r="O25" s="58" t="s">
        <v>40</v>
      </c>
      <c r="P25" s="58" t="s">
        <v>40</v>
      </c>
      <c r="Q25" s="58" t="s">
        <v>40</v>
      </c>
      <c r="R25" s="58" t="s">
        <v>40</v>
      </c>
      <c r="S25" s="58" t="s">
        <v>40</v>
      </c>
      <c r="T25" s="58" t="s">
        <v>40</v>
      </c>
      <c r="U25" s="58" t="s">
        <v>40</v>
      </c>
      <c r="V25" s="58" t="s">
        <v>40</v>
      </c>
      <c r="W25" s="58" t="s">
        <v>40</v>
      </c>
      <c r="X25" s="58" t="s">
        <v>40</v>
      </c>
      <c r="Y25" s="58" t="s">
        <v>40</v>
      </c>
      <c r="Z25" s="58" t="s">
        <v>40</v>
      </c>
      <c r="AA25" s="58" t="s">
        <v>40</v>
      </c>
      <c r="AB25" s="58" t="s">
        <v>40</v>
      </c>
      <c r="AC25" s="58" t="s">
        <v>40</v>
      </c>
      <c r="AD25" s="58" t="s">
        <v>40</v>
      </c>
      <c r="AE25" s="58" t="s">
        <v>40</v>
      </c>
      <c r="AF25" s="58" t="s">
        <v>40</v>
      </c>
      <c r="AG25" s="58" t="s">
        <v>40</v>
      </c>
      <c r="AH25" s="58" t="s">
        <v>40</v>
      </c>
      <c r="AI25" s="58" t="s">
        <v>40</v>
      </c>
      <c r="AJ25" s="58" t="s">
        <v>40</v>
      </c>
      <c r="AK25" s="58" t="s">
        <v>40</v>
      </c>
      <c r="AL25" s="58" t="s">
        <v>40</v>
      </c>
      <c r="AM25" s="58" t="s">
        <v>40</v>
      </c>
      <c r="AN25" s="58" t="s">
        <v>40</v>
      </c>
      <c r="AO25" s="58" t="s">
        <v>40</v>
      </c>
      <c r="AP25" s="58" t="s">
        <v>40</v>
      </c>
      <c r="AQ25" s="58" t="s">
        <v>40</v>
      </c>
      <c r="AR25" s="58" t="s">
        <v>40</v>
      </c>
      <c r="AS25" s="58" t="s">
        <v>40</v>
      </c>
      <c r="AT25" s="58" t="s">
        <v>40</v>
      </c>
      <c r="AU25" s="58" t="s">
        <v>40</v>
      </c>
      <c r="AV25" s="58" t="s">
        <v>40</v>
      </c>
      <c r="AW25" s="58" t="s">
        <v>40</v>
      </c>
      <c r="AX25" s="58" t="s">
        <v>40</v>
      </c>
      <c r="AY25" s="58" t="s">
        <v>40</v>
      </c>
      <c r="AZ25" s="58" t="s">
        <v>40</v>
      </c>
      <c r="BA25" s="58" t="s">
        <v>40</v>
      </c>
      <c r="BB25" s="58" t="s">
        <v>40</v>
      </c>
      <c r="BC25" s="58" t="s">
        <v>40</v>
      </c>
      <c r="BD25" s="58" t="s">
        <v>40</v>
      </c>
      <c r="BE25" s="58" t="s">
        <v>40</v>
      </c>
      <c r="BF25" s="58" t="s">
        <v>40</v>
      </c>
      <c r="BG25" s="58" t="s">
        <v>40</v>
      </c>
      <c r="BH25" s="58" t="s">
        <v>40</v>
      </c>
      <c r="BI25" s="58" t="s">
        <v>40</v>
      </c>
      <c r="BJ25" s="58" t="s">
        <v>40</v>
      </c>
      <c r="BK25" s="58" t="s">
        <v>40</v>
      </c>
      <c r="BL25" s="58" t="s">
        <v>40</v>
      </c>
      <c r="BM25" s="58" t="s">
        <v>40</v>
      </c>
      <c r="BN25" s="58" t="s">
        <v>40</v>
      </c>
      <c r="BO25" s="58" t="s">
        <v>40</v>
      </c>
      <c r="BP25" s="58" t="s">
        <v>40</v>
      </c>
      <c r="BQ25" s="58" t="s">
        <v>40</v>
      </c>
      <c r="BR25" s="58" t="s">
        <v>40</v>
      </c>
      <c r="BS25" s="58" t="s">
        <v>40</v>
      </c>
      <c r="BT25" s="58" t="s">
        <v>40</v>
      </c>
      <c r="BU25" s="58" t="s">
        <v>40</v>
      </c>
      <c r="BV25" s="58" t="s">
        <v>40</v>
      </c>
      <c r="BW25" s="58" t="s">
        <v>40</v>
      </c>
      <c r="BX25" s="58" t="s">
        <v>40</v>
      </c>
      <c r="BY25" s="58" t="s">
        <v>40</v>
      </c>
      <c r="BZ25" s="58" t="s">
        <v>40</v>
      </c>
      <c r="CA25" s="58" t="s">
        <v>40</v>
      </c>
      <c r="CB25" s="58" t="s">
        <v>40</v>
      </c>
      <c r="CC25" s="58" t="s">
        <v>40</v>
      </c>
      <c r="CD25" s="58" t="s">
        <v>40</v>
      </c>
      <c r="CE25" s="58" t="s">
        <v>40</v>
      </c>
      <c r="CF25" s="58" t="s">
        <v>40</v>
      </c>
      <c r="CG25" s="63">
        <v>595.2</v>
      </c>
      <c r="CH25" s="63">
        <v>628.5</v>
      </c>
      <c r="CI25" s="63">
        <v>628.3</v>
      </c>
      <c r="CJ25" s="63">
        <v>675.6</v>
      </c>
      <c r="CK25" s="63">
        <v>719.7</v>
      </c>
      <c r="CL25" s="63">
        <v>749.6</v>
      </c>
      <c r="CM25" s="63">
        <v>773.5</v>
      </c>
      <c r="CN25" s="63">
        <v>794.3</v>
      </c>
      <c r="CO25" s="63">
        <v>807.5</v>
      </c>
      <c r="CP25" s="63">
        <v>808.7</v>
      </c>
      <c r="CQ25" s="63">
        <v>841.6</v>
      </c>
      <c r="CR25" s="63">
        <v>844.2</v>
      </c>
      <c r="CS25" s="63">
        <v>854.5</v>
      </c>
      <c r="CT25" s="63">
        <v>706.9</v>
      </c>
      <c r="CU25" s="63">
        <v>735.5</v>
      </c>
      <c r="CV25" s="63">
        <v>815.5</v>
      </c>
      <c r="CW25" s="63">
        <v>848.6</v>
      </c>
      <c r="CX25" s="63">
        <v>905.3</v>
      </c>
      <c r="CY25" s="63">
        <v>915.7</v>
      </c>
    </row>
    <row r="26">
      <c r="A26" s="58">
        <v>19.0</v>
      </c>
      <c r="B26" s="58" t="s">
        <v>54</v>
      </c>
      <c r="C26" s="63"/>
      <c r="D26" s="63">
        <v>51.9</v>
      </c>
      <c r="E26" s="63"/>
      <c r="F26" s="63">
        <v>45.1</v>
      </c>
      <c r="G26" s="63"/>
      <c r="H26" s="63">
        <v>39.3</v>
      </c>
      <c r="I26" s="63"/>
      <c r="J26" s="63">
        <v>32.6</v>
      </c>
      <c r="K26" s="63">
        <v>34.0</v>
      </c>
      <c r="L26" s="63">
        <v>34.7</v>
      </c>
      <c r="M26" s="63">
        <v>45.5</v>
      </c>
      <c r="N26" s="63">
        <v>45.0</v>
      </c>
      <c r="O26" s="63">
        <v>50.6</v>
      </c>
      <c r="P26" s="63">
        <v>39.4</v>
      </c>
      <c r="Q26" s="63">
        <v>41.3</v>
      </c>
      <c r="R26" s="63">
        <v>42.3</v>
      </c>
      <c r="S26" s="63">
        <v>52.1</v>
      </c>
      <c r="T26" s="63">
        <v>47.3</v>
      </c>
      <c r="U26" s="63">
        <v>59.6</v>
      </c>
      <c r="V26" s="63">
        <v>62.4</v>
      </c>
      <c r="W26" s="63">
        <v>66.3</v>
      </c>
      <c r="X26" s="63">
        <v>55.0</v>
      </c>
      <c r="Y26" s="63">
        <v>52.2</v>
      </c>
      <c r="Z26" s="63">
        <v>60.9</v>
      </c>
      <c r="AA26" s="63">
        <v>58.7</v>
      </c>
      <c r="AB26" s="63">
        <v>69.4</v>
      </c>
      <c r="AC26" s="63">
        <v>72.2</v>
      </c>
      <c r="AD26" s="63">
        <v>78.5</v>
      </c>
      <c r="AE26" s="63">
        <v>85.9</v>
      </c>
      <c r="AF26" s="63">
        <v>81.7</v>
      </c>
      <c r="AG26" s="63">
        <v>91.5</v>
      </c>
      <c r="AH26" s="63">
        <v>98.9</v>
      </c>
      <c r="AI26" s="63">
        <v>103.1</v>
      </c>
      <c r="AJ26" s="63">
        <v>108.0</v>
      </c>
      <c r="AK26" s="63">
        <v>119.5</v>
      </c>
      <c r="AL26" s="63">
        <v>121.0</v>
      </c>
      <c r="AM26" s="63">
        <v>120.2</v>
      </c>
      <c r="AN26" s="63">
        <v>133.9</v>
      </c>
      <c r="AO26" s="63">
        <v>137.5</v>
      </c>
      <c r="AP26" s="63">
        <v>144.8</v>
      </c>
      <c r="AQ26" s="63">
        <v>160.2</v>
      </c>
      <c r="AR26" s="63">
        <v>184.0</v>
      </c>
      <c r="AS26" s="63">
        <v>197.4</v>
      </c>
      <c r="AT26" s="63">
        <v>226.8</v>
      </c>
      <c r="AU26" s="63">
        <v>239.7</v>
      </c>
      <c r="AV26" s="63">
        <v>250.0</v>
      </c>
      <c r="AW26" s="63">
        <v>263.3</v>
      </c>
      <c r="AX26" s="63">
        <v>292.9</v>
      </c>
      <c r="AY26" s="63">
        <v>306.5</v>
      </c>
      <c r="AZ26" s="63">
        <v>299.6</v>
      </c>
      <c r="BA26" s="63">
        <v>266.3</v>
      </c>
      <c r="BB26" s="63">
        <v>318.4</v>
      </c>
      <c r="BC26" s="63">
        <v>353.2</v>
      </c>
      <c r="BD26" s="63">
        <v>383.8</v>
      </c>
      <c r="BE26" s="63">
        <v>390.2</v>
      </c>
      <c r="BF26" s="63">
        <v>364.2</v>
      </c>
      <c r="BG26" s="63">
        <v>373.7</v>
      </c>
      <c r="BH26" s="63">
        <v>369.0</v>
      </c>
      <c r="BI26" s="63">
        <v>415.5</v>
      </c>
      <c r="BJ26" s="63">
        <v>516.7</v>
      </c>
      <c r="BK26" s="63">
        <v>550.2</v>
      </c>
      <c r="BL26" s="63">
        <v>597.1</v>
      </c>
      <c r="BM26" s="63">
        <v>632.6</v>
      </c>
      <c r="BN26" s="63">
        <v>657.4</v>
      </c>
      <c r="BO26" s="63">
        <v>686.4</v>
      </c>
      <c r="BP26" s="63">
        <v>711.0</v>
      </c>
      <c r="BQ26" s="63">
        <v>709.9</v>
      </c>
      <c r="BR26" s="63">
        <v>759.7</v>
      </c>
      <c r="BS26" s="63">
        <v>825.3</v>
      </c>
      <c r="BT26" s="63">
        <v>923.8</v>
      </c>
      <c r="BU26" s="63">
        <v>997.7</v>
      </c>
      <c r="BV26" s="63">
        <v>1084.5</v>
      </c>
      <c r="BW26" s="63">
        <v>1230.5</v>
      </c>
      <c r="BX26" s="63">
        <v>1374.3</v>
      </c>
      <c r="BY26" s="63">
        <v>1533.7</v>
      </c>
      <c r="BZ26" s="63">
        <v>1733.1</v>
      </c>
      <c r="CA26" s="63">
        <v>1690.4</v>
      </c>
      <c r="CB26" s="63">
        <v>1752.4</v>
      </c>
      <c r="CC26" s="63">
        <v>1842.2</v>
      </c>
      <c r="CD26" s="63">
        <v>2044.5</v>
      </c>
      <c r="CE26" s="63">
        <v>2177.3</v>
      </c>
      <c r="CF26" s="63">
        <v>2317.0</v>
      </c>
      <c r="CG26" s="63">
        <v>2376.4</v>
      </c>
      <c r="CH26" s="63">
        <v>2325.4</v>
      </c>
      <c r="CI26" s="63">
        <v>2031.8</v>
      </c>
      <c r="CJ26" s="63">
        <v>2295.3</v>
      </c>
      <c r="CK26" s="63">
        <v>2405.8</v>
      </c>
      <c r="CL26" s="63">
        <v>2464.7</v>
      </c>
      <c r="CM26" s="63">
        <v>2494.6</v>
      </c>
      <c r="CN26" s="63">
        <v>2623.4</v>
      </c>
      <c r="CO26" s="63">
        <v>2759.5</v>
      </c>
      <c r="CP26" s="63">
        <v>2799.7</v>
      </c>
      <c r="CQ26" s="63">
        <v>2931.6</v>
      </c>
      <c r="CR26" s="63">
        <v>3050.0</v>
      </c>
      <c r="CS26" s="63">
        <v>3085.9</v>
      </c>
      <c r="CT26" s="63">
        <v>2813.6</v>
      </c>
      <c r="CU26" s="63">
        <v>3223.5</v>
      </c>
      <c r="CV26" s="63">
        <v>3496.4</v>
      </c>
      <c r="CW26" s="63">
        <v>3466.2</v>
      </c>
      <c r="CX26" s="63">
        <v>3666.2</v>
      </c>
      <c r="CY26" s="63">
        <v>3766.0</v>
      </c>
    </row>
    <row r="27">
      <c r="A27" s="58">
        <v>20.0</v>
      </c>
      <c r="B27" s="58" t="s">
        <v>39</v>
      </c>
      <c r="C27" s="58"/>
      <c r="D27" s="58" t="s">
        <v>40</v>
      </c>
      <c r="E27" s="58"/>
      <c r="F27" s="58" t="s">
        <v>40</v>
      </c>
      <c r="G27" s="58"/>
      <c r="H27" s="58" t="s">
        <v>40</v>
      </c>
      <c r="I27" s="58"/>
      <c r="J27" s="58" t="s">
        <v>40</v>
      </c>
      <c r="K27" s="58" t="s">
        <v>40</v>
      </c>
      <c r="L27" s="58" t="s">
        <v>40</v>
      </c>
      <c r="M27" s="58" t="s">
        <v>40</v>
      </c>
      <c r="N27" s="58" t="s">
        <v>40</v>
      </c>
      <c r="O27" s="58" t="s">
        <v>40</v>
      </c>
      <c r="P27" s="58" t="s">
        <v>40</v>
      </c>
      <c r="Q27" s="58" t="s">
        <v>40</v>
      </c>
      <c r="R27" s="58" t="s">
        <v>40</v>
      </c>
      <c r="S27" s="58" t="s">
        <v>40</v>
      </c>
      <c r="T27" s="58" t="s">
        <v>40</v>
      </c>
      <c r="U27" s="58" t="s">
        <v>40</v>
      </c>
      <c r="V27" s="58" t="s">
        <v>40</v>
      </c>
      <c r="W27" s="58" t="s">
        <v>40</v>
      </c>
      <c r="X27" s="58" t="s">
        <v>40</v>
      </c>
      <c r="Y27" s="58" t="s">
        <v>40</v>
      </c>
      <c r="Z27" s="58" t="s">
        <v>40</v>
      </c>
      <c r="AA27" s="58" t="s">
        <v>40</v>
      </c>
      <c r="AB27" s="58" t="s">
        <v>40</v>
      </c>
      <c r="AC27" s="58" t="s">
        <v>40</v>
      </c>
      <c r="AD27" s="58" t="s">
        <v>40</v>
      </c>
      <c r="AE27" s="58" t="s">
        <v>40</v>
      </c>
      <c r="AF27" s="58" t="s">
        <v>40</v>
      </c>
      <c r="AG27" s="58" t="s">
        <v>40</v>
      </c>
      <c r="AH27" s="58" t="s">
        <v>40</v>
      </c>
      <c r="AI27" s="58" t="s">
        <v>40</v>
      </c>
      <c r="AJ27" s="58" t="s">
        <v>40</v>
      </c>
      <c r="AK27" s="58" t="s">
        <v>40</v>
      </c>
      <c r="AL27" s="58" t="s">
        <v>40</v>
      </c>
      <c r="AM27" s="58" t="s">
        <v>40</v>
      </c>
      <c r="AN27" s="58" t="s">
        <v>40</v>
      </c>
      <c r="AO27" s="58" t="s">
        <v>40</v>
      </c>
      <c r="AP27" s="58" t="s">
        <v>40</v>
      </c>
      <c r="AQ27" s="58" t="s">
        <v>40</v>
      </c>
      <c r="AR27" s="58" t="s">
        <v>40</v>
      </c>
      <c r="AS27" s="58" t="s">
        <v>40</v>
      </c>
      <c r="AT27" s="58" t="s">
        <v>40</v>
      </c>
      <c r="AU27" s="58" t="s">
        <v>40</v>
      </c>
      <c r="AV27" s="58" t="s">
        <v>40</v>
      </c>
      <c r="AW27" s="58" t="s">
        <v>40</v>
      </c>
      <c r="AX27" s="58" t="s">
        <v>40</v>
      </c>
      <c r="AY27" s="58" t="s">
        <v>40</v>
      </c>
      <c r="AZ27" s="58" t="s">
        <v>40</v>
      </c>
      <c r="BA27" s="58" t="s">
        <v>40</v>
      </c>
      <c r="BB27" s="58" t="s">
        <v>40</v>
      </c>
      <c r="BC27" s="58" t="s">
        <v>40</v>
      </c>
      <c r="BD27" s="58" t="s">
        <v>40</v>
      </c>
      <c r="BE27" s="58" t="s">
        <v>40</v>
      </c>
      <c r="BF27" s="58" t="s">
        <v>40</v>
      </c>
      <c r="BG27" s="58" t="s">
        <v>40</v>
      </c>
      <c r="BH27" s="58" t="s">
        <v>40</v>
      </c>
      <c r="BI27" s="58" t="s">
        <v>40</v>
      </c>
      <c r="BJ27" s="58" t="s">
        <v>40</v>
      </c>
      <c r="BK27" s="58" t="s">
        <v>40</v>
      </c>
      <c r="BL27" s="58" t="s">
        <v>40</v>
      </c>
      <c r="BM27" s="58" t="s">
        <v>40</v>
      </c>
      <c r="BN27" s="58" t="s">
        <v>40</v>
      </c>
      <c r="BO27" s="58" t="s">
        <v>40</v>
      </c>
      <c r="BP27" s="58" t="s">
        <v>40</v>
      </c>
      <c r="BQ27" s="58" t="s">
        <v>40</v>
      </c>
      <c r="BR27" s="58" t="s">
        <v>40</v>
      </c>
      <c r="BS27" s="58" t="s">
        <v>40</v>
      </c>
      <c r="BT27" s="58" t="s">
        <v>40</v>
      </c>
      <c r="BU27" s="58" t="s">
        <v>40</v>
      </c>
      <c r="BV27" s="58" t="s">
        <v>40</v>
      </c>
      <c r="BW27" s="58" t="s">
        <v>40</v>
      </c>
      <c r="BX27" s="58" t="s">
        <v>40</v>
      </c>
      <c r="BY27" s="58" t="s">
        <v>40</v>
      </c>
      <c r="BZ27" s="58" t="s">
        <v>40</v>
      </c>
      <c r="CA27" s="58" t="s">
        <v>40</v>
      </c>
      <c r="CB27" s="58" t="s">
        <v>40</v>
      </c>
      <c r="CC27" s="58" t="s">
        <v>40</v>
      </c>
      <c r="CD27" s="58" t="s">
        <v>40</v>
      </c>
      <c r="CE27" s="58" t="s">
        <v>40</v>
      </c>
      <c r="CF27" s="58" t="s">
        <v>40</v>
      </c>
      <c r="CG27" s="63">
        <v>1927.5</v>
      </c>
      <c r="CH27" s="63">
        <v>1864.5</v>
      </c>
      <c r="CI27" s="63">
        <v>1576.0</v>
      </c>
      <c r="CJ27" s="63">
        <v>1818.3</v>
      </c>
      <c r="CK27" s="63">
        <v>1918.6</v>
      </c>
      <c r="CL27" s="63">
        <v>1969.5</v>
      </c>
      <c r="CM27" s="63">
        <v>2009.0</v>
      </c>
      <c r="CN27" s="63">
        <v>2120.8</v>
      </c>
      <c r="CO27" s="63">
        <v>2243.5</v>
      </c>
      <c r="CP27" s="63">
        <v>2268.4</v>
      </c>
      <c r="CQ27" s="63">
        <v>2369.9</v>
      </c>
      <c r="CR27" s="63">
        <v>2491.6</v>
      </c>
      <c r="CS27" s="63">
        <v>2504.8</v>
      </c>
      <c r="CT27" s="63">
        <v>2357.8</v>
      </c>
      <c r="CU27" s="63">
        <v>2699.0</v>
      </c>
      <c r="CV27" s="63">
        <v>2880.5</v>
      </c>
      <c r="CW27" s="63">
        <v>2825.4</v>
      </c>
      <c r="CX27" s="63">
        <v>2971.0</v>
      </c>
      <c r="CY27" s="63">
        <v>3044.9</v>
      </c>
    </row>
    <row r="28">
      <c r="A28" s="58">
        <v>21.0</v>
      </c>
      <c r="B28" s="58" t="s">
        <v>43</v>
      </c>
      <c r="C28" s="58"/>
      <c r="D28" s="58" t="s">
        <v>40</v>
      </c>
      <c r="E28" s="58"/>
      <c r="F28" s="58" t="s">
        <v>40</v>
      </c>
      <c r="G28" s="58"/>
      <c r="H28" s="58" t="s">
        <v>40</v>
      </c>
      <c r="I28" s="58"/>
      <c r="J28" s="58" t="s">
        <v>40</v>
      </c>
      <c r="K28" s="58" t="s">
        <v>40</v>
      </c>
      <c r="L28" s="58" t="s">
        <v>40</v>
      </c>
      <c r="M28" s="58" t="s">
        <v>40</v>
      </c>
      <c r="N28" s="58" t="s">
        <v>40</v>
      </c>
      <c r="O28" s="58" t="s">
        <v>40</v>
      </c>
      <c r="P28" s="58" t="s">
        <v>40</v>
      </c>
      <c r="Q28" s="58" t="s">
        <v>40</v>
      </c>
      <c r="R28" s="58" t="s">
        <v>40</v>
      </c>
      <c r="S28" s="58" t="s">
        <v>40</v>
      </c>
      <c r="T28" s="58" t="s">
        <v>40</v>
      </c>
      <c r="U28" s="58" t="s">
        <v>40</v>
      </c>
      <c r="V28" s="58" t="s">
        <v>40</v>
      </c>
      <c r="W28" s="58" t="s">
        <v>40</v>
      </c>
      <c r="X28" s="58" t="s">
        <v>40</v>
      </c>
      <c r="Y28" s="58" t="s">
        <v>40</v>
      </c>
      <c r="Z28" s="58" t="s">
        <v>40</v>
      </c>
      <c r="AA28" s="58" t="s">
        <v>40</v>
      </c>
      <c r="AB28" s="58" t="s">
        <v>40</v>
      </c>
      <c r="AC28" s="58" t="s">
        <v>40</v>
      </c>
      <c r="AD28" s="58" t="s">
        <v>40</v>
      </c>
      <c r="AE28" s="58" t="s">
        <v>40</v>
      </c>
      <c r="AF28" s="58" t="s">
        <v>40</v>
      </c>
      <c r="AG28" s="58" t="s">
        <v>40</v>
      </c>
      <c r="AH28" s="58" t="s">
        <v>40</v>
      </c>
      <c r="AI28" s="58" t="s">
        <v>40</v>
      </c>
      <c r="AJ28" s="58" t="s">
        <v>40</v>
      </c>
      <c r="AK28" s="58" t="s">
        <v>40</v>
      </c>
      <c r="AL28" s="58" t="s">
        <v>40</v>
      </c>
      <c r="AM28" s="58" t="s">
        <v>40</v>
      </c>
      <c r="AN28" s="58" t="s">
        <v>40</v>
      </c>
      <c r="AO28" s="58" t="s">
        <v>40</v>
      </c>
      <c r="AP28" s="58" t="s">
        <v>40</v>
      </c>
      <c r="AQ28" s="58" t="s">
        <v>40</v>
      </c>
      <c r="AR28" s="58" t="s">
        <v>40</v>
      </c>
      <c r="AS28" s="58" t="s">
        <v>40</v>
      </c>
      <c r="AT28" s="58" t="s">
        <v>40</v>
      </c>
      <c r="AU28" s="58" t="s">
        <v>40</v>
      </c>
      <c r="AV28" s="58" t="s">
        <v>40</v>
      </c>
      <c r="AW28" s="58" t="s">
        <v>40</v>
      </c>
      <c r="AX28" s="58" t="s">
        <v>40</v>
      </c>
      <c r="AY28" s="58" t="s">
        <v>40</v>
      </c>
      <c r="AZ28" s="58" t="s">
        <v>40</v>
      </c>
      <c r="BA28" s="58" t="s">
        <v>40</v>
      </c>
      <c r="BB28" s="58" t="s">
        <v>40</v>
      </c>
      <c r="BC28" s="58" t="s">
        <v>40</v>
      </c>
      <c r="BD28" s="58" t="s">
        <v>40</v>
      </c>
      <c r="BE28" s="58" t="s">
        <v>40</v>
      </c>
      <c r="BF28" s="58" t="s">
        <v>40</v>
      </c>
      <c r="BG28" s="58" t="s">
        <v>40</v>
      </c>
      <c r="BH28" s="58" t="s">
        <v>40</v>
      </c>
      <c r="BI28" s="58" t="s">
        <v>40</v>
      </c>
      <c r="BJ28" s="58" t="s">
        <v>40</v>
      </c>
      <c r="BK28" s="58" t="s">
        <v>40</v>
      </c>
      <c r="BL28" s="58" t="s">
        <v>40</v>
      </c>
      <c r="BM28" s="58" t="s">
        <v>40</v>
      </c>
      <c r="BN28" s="58" t="s">
        <v>40</v>
      </c>
      <c r="BO28" s="58" t="s">
        <v>40</v>
      </c>
      <c r="BP28" s="58" t="s">
        <v>40</v>
      </c>
      <c r="BQ28" s="58" t="s">
        <v>40</v>
      </c>
      <c r="BR28" s="58" t="s">
        <v>40</v>
      </c>
      <c r="BS28" s="58" t="s">
        <v>40</v>
      </c>
      <c r="BT28" s="58" t="s">
        <v>40</v>
      </c>
      <c r="BU28" s="58" t="s">
        <v>40</v>
      </c>
      <c r="BV28" s="58" t="s">
        <v>40</v>
      </c>
      <c r="BW28" s="58" t="s">
        <v>40</v>
      </c>
      <c r="BX28" s="58" t="s">
        <v>40</v>
      </c>
      <c r="BY28" s="58" t="s">
        <v>40</v>
      </c>
      <c r="BZ28" s="58" t="s">
        <v>40</v>
      </c>
      <c r="CA28" s="58" t="s">
        <v>40</v>
      </c>
      <c r="CB28" s="58" t="s">
        <v>40</v>
      </c>
      <c r="CC28" s="58" t="s">
        <v>40</v>
      </c>
      <c r="CD28" s="58" t="s">
        <v>40</v>
      </c>
      <c r="CE28" s="58" t="s">
        <v>40</v>
      </c>
      <c r="CF28" s="58" t="s">
        <v>40</v>
      </c>
      <c r="CG28" s="63">
        <v>446.7</v>
      </c>
      <c r="CH28" s="63">
        <v>463.5</v>
      </c>
      <c r="CI28" s="63">
        <v>468.2</v>
      </c>
      <c r="CJ28" s="63">
        <v>485.1</v>
      </c>
      <c r="CK28" s="63">
        <v>493.1</v>
      </c>
      <c r="CL28" s="63">
        <v>500.4</v>
      </c>
      <c r="CM28" s="63">
        <v>487.7</v>
      </c>
      <c r="CN28" s="63">
        <v>503.4</v>
      </c>
      <c r="CO28" s="63">
        <v>515.8</v>
      </c>
      <c r="CP28" s="63">
        <v>531.4</v>
      </c>
      <c r="CQ28" s="63">
        <v>561.7</v>
      </c>
      <c r="CR28" s="63">
        <v>558.4</v>
      </c>
      <c r="CS28" s="63">
        <v>580.8</v>
      </c>
      <c r="CT28" s="63">
        <v>458.8</v>
      </c>
      <c r="CU28" s="63">
        <v>527.8</v>
      </c>
      <c r="CV28" s="63">
        <v>618.0</v>
      </c>
      <c r="CW28" s="63">
        <v>641.1</v>
      </c>
      <c r="CX28" s="63">
        <v>693.9</v>
      </c>
      <c r="CY28" s="63">
        <v>718.3</v>
      </c>
    </row>
    <row r="29">
      <c r="A29" s="58">
        <v>22.0</v>
      </c>
      <c r="B29" s="56" t="s">
        <v>55</v>
      </c>
      <c r="C29" s="62"/>
      <c r="D29" s="62">
        <v>193.0</v>
      </c>
      <c r="E29" s="62"/>
      <c r="F29" s="62">
        <v>212.5</v>
      </c>
      <c r="G29" s="62"/>
      <c r="H29" s="62">
        <v>221.0</v>
      </c>
      <c r="I29" s="62"/>
      <c r="J29" s="62">
        <v>214.0</v>
      </c>
      <c r="K29" s="62">
        <v>207.0</v>
      </c>
      <c r="L29" s="62">
        <v>233.0</v>
      </c>
      <c r="M29" s="62">
        <v>240.2</v>
      </c>
      <c r="N29" s="62">
        <v>278.0</v>
      </c>
      <c r="O29" s="62">
        <v>267.1</v>
      </c>
      <c r="P29" s="62">
        <v>287.4</v>
      </c>
      <c r="Q29" s="62">
        <v>312.7</v>
      </c>
      <c r="R29" s="62">
        <v>324.0</v>
      </c>
      <c r="S29" s="62">
        <v>545.3</v>
      </c>
      <c r="T29" s="62">
        <v>1267.0</v>
      </c>
      <c r="U29" s="62">
        <v>1898.6</v>
      </c>
      <c r="V29" s="62">
        <v>2131.1</v>
      </c>
      <c r="W29" s="62">
        <v>1872.0</v>
      </c>
      <c r="X29" s="62">
        <v>658.9</v>
      </c>
      <c r="Y29" s="62">
        <v>559.0</v>
      </c>
      <c r="Z29" s="62">
        <v>590.5</v>
      </c>
      <c r="AA29" s="62">
        <v>654.1</v>
      </c>
      <c r="AB29" s="62">
        <v>657.0</v>
      </c>
      <c r="AC29" s="62">
        <v>898.3</v>
      </c>
      <c r="AD29" s="62">
        <v>1075.5</v>
      </c>
      <c r="AE29" s="62">
        <v>1148.9</v>
      </c>
      <c r="AF29" s="62">
        <v>1075.0</v>
      </c>
      <c r="AG29" s="62">
        <v>1040.0</v>
      </c>
      <c r="AH29" s="62">
        <v>1042.8</v>
      </c>
      <c r="AI29" s="62">
        <v>1091.0</v>
      </c>
      <c r="AJ29" s="62">
        <v>1127.0</v>
      </c>
      <c r="AK29" s="62">
        <v>1155.8</v>
      </c>
      <c r="AL29" s="62">
        <v>1163.0</v>
      </c>
      <c r="AM29" s="62">
        <v>1226.0</v>
      </c>
      <c r="AN29" s="62">
        <v>1307.0</v>
      </c>
      <c r="AO29" s="62">
        <v>1338.3</v>
      </c>
      <c r="AP29" s="62">
        <v>1371.1</v>
      </c>
      <c r="AQ29" s="62">
        <v>1415.0</v>
      </c>
      <c r="AR29" s="62">
        <v>1538.3</v>
      </c>
      <c r="AS29" s="62">
        <v>1660.4</v>
      </c>
      <c r="AT29" s="62">
        <v>1716.8</v>
      </c>
      <c r="AU29" s="62">
        <v>1718.0</v>
      </c>
      <c r="AV29" s="62">
        <v>1682.1</v>
      </c>
      <c r="AW29" s="62">
        <v>1650.5</v>
      </c>
      <c r="AX29" s="62">
        <v>1642.0</v>
      </c>
      <c r="AY29" s="62">
        <v>1636.5</v>
      </c>
      <c r="AZ29" s="62">
        <v>1672.5</v>
      </c>
      <c r="BA29" s="62">
        <v>1709.0</v>
      </c>
      <c r="BB29" s="62">
        <v>1718.2</v>
      </c>
      <c r="BC29" s="62">
        <v>1738.9</v>
      </c>
      <c r="BD29" s="62">
        <v>1788.8</v>
      </c>
      <c r="BE29" s="62">
        <v>1821.0</v>
      </c>
      <c r="BF29" s="62">
        <v>1853.9</v>
      </c>
      <c r="BG29" s="62">
        <v>1871.9</v>
      </c>
      <c r="BH29" s="62">
        <v>1905.5</v>
      </c>
      <c r="BI29" s="62">
        <v>1976.6</v>
      </c>
      <c r="BJ29" s="62">
        <v>2046.0</v>
      </c>
      <c r="BK29" s="62">
        <v>2182.6</v>
      </c>
      <c r="BL29" s="62">
        <v>2301.1</v>
      </c>
      <c r="BM29" s="62">
        <v>2367.9</v>
      </c>
      <c r="BN29" s="62">
        <v>2397.2</v>
      </c>
      <c r="BO29" s="62">
        <v>2465.3</v>
      </c>
      <c r="BP29" s="62">
        <v>2544.2</v>
      </c>
      <c r="BQ29" s="62">
        <v>2574.7</v>
      </c>
      <c r="BR29" s="62">
        <v>2586.7</v>
      </c>
      <c r="BS29" s="62">
        <v>2565.5</v>
      </c>
      <c r="BT29" s="62">
        <v>2567.7</v>
      </c>
      <c r="BU29" s="62">
        <v>2580.8</v>
      </c>
      <c r="BV29" s="62">
        <v>2604.7</v>
      </c>
      <c r="BW29" s="62">
        <v>2647.4</v>
      </c>
      <c r="BX29" s="62">
        <v>2711.6</v>
      </c>
      <c r="BY29" s="62">
        <v>2800.2</v>
      </c>
      <c r="BZ29" s="62">
        <v>2851.2</v>
      </c>
      <c r="CA29" s="62">
        <v>2958.7</v>
      </c>
      <c r="CB29" s="62">
        <v>3090.5</v>
      </c>
      <c r="CC29" s="62">
        <v>3153.9</v>
      </c>
      <c r="CD29" s="62">
        <v>3202.2</v>
      </c>
      <c r="CE29" s="62">
        <v>3226.2</v>
      </c>
      <c r="CF29" s="62">
        <v>3277.2</v>
      </c>
      <c r="CG29" s="62">
        <v>3335.9</v>
      </c>
      <c r="CH29" s="62">
        <v>3420.1</v>
      </c>
      <c r="CI29" s="62">
        <v>3542.7</v>
      </c>
      <c r="CJ29" s="62">
        <v>3539.7</v>
      </c>
      <c r="CK29" s="62">
        <v>3426.9</v>
      </c>
      <c r="CL29" s="62">
        <v>3356.0</v>
      </c>
      <c r="CM29" s="62">
        <v>3275.6</v>
      </c>
      <c r="CN29" s="62">
        <v>3247.3</v>
      </c>
      <c r="CO29" s="62">
        <v>3313.6</v>
      </c>
      <c r="CP29" s="62">
        <v>3378.5</v>
      </c>
      <c r="CQ29" s="62">
        <v>3397.1</v>
      </c>
      <c r="CR29" s="62">
        <v>3465.0</v>
      </c>
      <c r="CS29" s="62">
        <v>3600.4</v>
      </c>
      <c r="CT29" s="62">
        <v>3722.7</v>
      </c>
      <c r="CU29" s="62">
        <v>3718.6</v>
      </c>
      <c r="CV29" s="62">
        <v>3672.7</v>
      </c>
      <c r="CW29" s="62">
        <v>3800.7</v>
      </c>
      <c r="CX29" s="62">
        <v>3945.3</v>
      </c>
      <c r="CY29" s="62">
        <v>3989.3</v>
      </c>
    </row>
    <row r="30">
      <c r="A30" s="58">
        <v>23.0</v>
      </c>
      <c r="B30" s="58" t="s">
        <v>56</v>
      </c>
      <c r="C30" s="58"/>
      <c r="D30" s="58" t="s">
        <v>40</v>
      </c>
      <c r="E30" s="58"/>
      <c r="F30" s="58" t="s">
        <v>40</v>
      </c>
      <c r="G30" s="58"/>
      <c r="H30" s="58" t="s">
        <v>40</v>
      </c>
      <c r="I30" s="58"/>
      <c r="J30" s="58" t="s">
        <v>40</v>
      </c>
      <c r="K30" s="58" t="s">
        <v>40</v>
      </c>
      <c r="L30" s="58" t="s">
        <v>40</v>
      </c>
      <c r="M30" s="58" t="s">
        <v>40</v>
      </c>
      <c r="N30" s="58" t="s">
        <v>40</v>
      </c>
      <c r="O30" s="58" t="s">
        <v>40</v>
      </c>
      <c r="P30" s="58" t="s">
        <v>40</v>
      </c>
      <c r="Q30" s="58" t="s">
        <v>40</v>
      </c>
      <c r="R30" s="58" t="s">
        <v>40</v>
      </c>
      <c r="S30" s="58" t="s">
        <v>40</v>
      </c>
      <c r="T30" s="58" t="s">
        <v>40</v>
      </c>
      <c r="U30" s="58" t="s">
        <v>40</v>
      </c>
      <c r="V30" s="58" t="s">
        <v>40</v>
      </c>
      <c r="W30" s="58" t="s">
        <v>40</v>
      </c>
      <c r="X30" s="58" t="s">
        <v>40</v>
      </c>
      <c r="Y30" s="58" t="s">
        <v>40</v>
      </c>
      <c r="Z30" s="58" t="s">
        <v>40</v>
      </c>
      <c r="AA30" s="58" t="s">
        <v>40</v>
      </c>
      <c r="AB30" s="58" t="s">
        <v>40</v>
      </c>
      <c r="AC30" s="58" t="s">
        <v>40</v>
      </c>
      <c r="AD30" s="58" t="s">
        <v>40</v>
      </c>
      <c r="AE30" s="58" t="s">
        <v>40</v>
      </c>
      <c r="AF30" s="58" t="s">
        <v>40</v>
      </c>
      <c r="AG30" s="58" t="s">
        <v>40</v>
      </c>
      <c r="AH30" s="58" t="s">
        <v>40</v>
      </c>
      <c r="AI30" s="58" t="s">
        <v>40</v>
      </c>
      <c r="AJ30" s="58" t="s">
        <v>40</v>
      </c>
      <c r="AK30" s="58" t="s">
        <v>40</v>
      </c>
      <c r="AL30" s="58" t="s">
        <v>40</v>
      </c>
      <c r="AM30" s="58" t="s">
        <v>40</v>
      </c>
      <c r="AN30" s="58" t="s">
        <v>40</v>
      </c>
      <c r="AO30" s="58" t="s">
        <v>40</v>
      </c>
      <c r="AP30" s="58" t="s">
        <v>40</v>
      </c>
      <c r="AQ30" s="58" t="s">
        <v>40</v>
      </c>
      <c r="AR30" s="58" t="s">
        <v>40</v>
      </c>
      <c r="AS30" s="58" t="s">
        <v>40</v>
      </c>
      <c r="AT30" s="58" t="s">
        <v>40</v>
      </c>
      <c r="AU30" s="58" t="s">
        <v>40</v>
      </c>
      <c r="AV30" s="58" t="s">
        <v>40</v>
      </c>
      <c r="AW30" s="58" t="s">
        <v>40</v>
      </c>
      <c r="AX30" s="58" t="s">
        <v>40</v>
      </c>
      <c r="AY30" s="58" t="s">
        <v>40</v>
      </c>
      <c r="AZ30" s="58" t="s">
        <v>40</v>
      </c>
      <c r="BA30" s="58" t="s">
        <v>40</v>
      </c>
      <c r="BB30" s="58" t="s">
        <v>40</v>
      </c>
      <c r="BC30" s="58" t="s">
        <v>40</v>
      </c>
      <c r="BD30" s="58" t="s">
        <v>40</v>
      </c>
      <c r="BE30" s="58" t="s">
        <v>40</v>
      </c>
      <c r="BF30" s="58" t="s">
        <v>40</v>
      </c>
      <c r="BG30" s="58" t="s">
        <v>40</v>
      </c>
      <c r="BH30" s="58" t="s">
        <v>40</v>
      </c>
      <c r="BI30" s="58" t="s">
        <v>40</v>
      </c>
      <c r="BJ30" s="58" t="s">
        <v>40</v>
      </c>
      <c r="BK30" s="58" t="s">
        <v>40</v>
      </c>
      <c r="BL30" s="58" t="s">
        <v>40</v>
      </c>
      <c r="BM30" s="58" t="s">
        <v>40</v>
      </c>
      <c r="BN30" s="58" t="s">
        <v>40</v>
      </c>
      <c r="BO30" s="58" t="s">
        <v>40</v>
      </c>
      <c r="BP30" s="58" t="s">
        <v>40</v>
      </c>
      <c r="BQ30" s="58" t="s">
        <v>40</v>
      </c>
      <c r="BR30" s="58" t="s">
        <v>40</v>
      </c>
      <c r="BS30" s="58" t="s">
        <v>40</v>
      </c>
      <c r="BT30" s="58" t="s">
        <v>40</v>
      </c>
      <c r="BU30" s="58" t="s">
        <v>40</v>
      </c>
      <c r="BV30" s="58" t="s">
        <v>40</v>
      </c>
      <c r="BW30" s="58" t="s">
        <v>40</v>
      </c>
      <c r="BX30" s="58" t="s">
        <v>40</v>
      </c>
      <c r="BY30" s="58" t="s">
        <v>40</v>
      </c>
      <c r="BZ30" s="58" t="s">
        <v>40</v>
      </c>
      <c r="CA30" s="58" t="s">
        <v>40</v>
      </c>
      <c r="CB30" s="58" t="s">
        <v>40</v>
      </c>
      <c r="CC30" s="58" t="s">
        <v>40</v>
      </c>
      <c r="CD30" s="58" t="s">
        <v>40</v>
      </c>
      <c r="CE30" s="58" t="s">
        <v>40</v>
      </c>
      <c r="CF30" s="58" t="s">
        <v>40</v>
      </c>
      <c r="CG30" s="63">
        <v>1210.4</v>
      </c>
      <c r="CH30" s="63">
        <v>1287.2</v>
      </c>
      <c r="CI30" s="63">
        <v>1367.4</v>
      </c>
      <c r="CJ30" s="63">
        <v>1422.6</v>
      </c>
      <c r="CK30" s="63">
        <v>1384.2</v>
      </c>
      <c r="CL30" s="63">
        <v>1357.9</v>
      </c>
      <c r="CM30" s="63">
        <v>1283.9</v>
      </c>
      <c r="CN30" s="63">
        <v>1251.9</v>
      </c>
      <c r="CO30" s="63">
        <v>1252.7</v>
      </c>
      <c r="CP30" s="63">
        <v>1260.0</v>
      </c>
      <c r="CQ30" s="63">
        <v>1266.1</v>
      </c>
      <c r="CR30" s="63">
        <v>1309.9</v>
      </c>
      <c r="CS30" s="63">
        <v>1360.3</v>
      </c>
      <c r="CT30" s="63">
        <v>1446.1</v>
      </c>
      <c r="CU30" s="63">
        <v>1473.0</v>
      </c>
      <c r="CV30" s="63">
        <v>1424.1</v>
      </c>
      <c r="CW30" s="63">
        <v>1471.4</v>
      </c>
      <c r="CX30" s="63">
        <v>1527.4</v>
      </c>
      <c r="CY30" s="63">
        <v>1509.7</v>
      </c>
    </row>
    <row r="31">
      <c r="A31" s="58">
        <v>24.0</v>
      </c>
      <c r="B31" s="58" t="s">
        <v>57</v>
      </c>
      <c r="C31" s="58"/>
      <c r="D31" s="58" t="s">
        <v>40</v>
      </c>
      <c r="E31" s="58"/>
      <c r="F31" s="58" t="s">
        <v>40</v>
      </c>
      <c r="G31" s="58"/>
      <c r="H31" s="58" t="s">
        <v>40</v>
      </c>
      <c r="I31" s="58"/>
      <c r="J31" s="58" t="s">
        <v>40</v>
      </c>
      <c r="K31" s="58" t="s">
        <v>40</v>
      </c>
      <c r="L31" s="58" t="s">
        <v>40</v>
      </c>
      <c r="M31" s="58" t="s">
        <v>40</v>
      </c>
      <c r="N31" s="58" t="s">
        <v>40</v>
      </c>
      <c r="O31" s="58" t="s">
        <v>40</v>
      </c>
      <c r="P31" s="58" t="s">
        <v>40</v>
      </c>
      <c r="Q31" s="58" t="s">
        <v>40</v>
      </c>
      <c r="R31" s="58" t="s">
        <v>40</v>
      </c>
      <c r="S31" s="58" t="s">
        <v>40</v>
      </c>
      <c r="T31" s="58" t="s">
        <v>40</v>
      </c>
      <c r="U31" s="58" t="s">
        <v>40</v>
      </c>
      <c r="V31" s="58" t="s">
        <v>40</v>
      </c>
      <c r="W31" s="58" t="s">
        <v>40</v>
      </c>
      <c r="X31" s="58" t="s">
        <v>40</v>
      </c>
      <c r="Y31" s="58" t="s">
        <v>40</v>
      </c>
      <c r="Z31" s="58" t="s">
        <v>40</v>
      </c>
      <c r="AA31" s="58" t="s">
        <v>40</v>
      </c>
      <c r="AB31" s="58" t="s">
        <v>40</v>
      </c>
      <c r="AC31" s="58" t="s">
        <v>40</v>
      </c>
      <c r="AD31" s="58" t="s">
        <v>40</v>
      </c>
      <c r="AE31" s="58" t="s">
        <v>40</v>
      </c>
      <c r="AF31" s="58" t="s">
        <v>40</v>
      </c>
      <c r="AG31" s="58" t="s">
        <v>40</v>
      </c>
      <c r="AH31" s="58" t="s">
        <v>40</v>
      </c>
      <c r="AI31" s="58" t="s">
        <v>40</v>
      </c>
      <c r="AJ31" s="58" t="s">
        <v>40</v>
      </c>
      <c r="AK31" s="58" t="s">
        <v>40</v>
      </c>
      <c r="AL31" s="58" t="s">
        <v>40</v>
      </c>
      <c r="AM31" s="58" t="s">
        <v>40</v>
      </c>
      <c r="AN31" s="58" t="s">
        <v>40</v>
      </c>
      <c r="AO31" s="58" t="s">
        <v>40</v>
      </c>
      <c r="AP31" s="58" t="s">
        <v>40</v>
      </c>
      <c r="AQ31" s="58" t="s">
        <v>40</v>
      </c>
      <c r="AR31" s="58" t="s">
        <v>40</v>
      </c>
      <c r="AS31" s="58" t="s">
        <v>40</v>
      </c>
      <c r="AT31" s="58" t="s">
        <v>40</v>
      </c>
      <c r="AU31" s="58" t="s">
        <v>40</v>
      </c>
      <c r="AV31" s="58" t="s">
        <v>40</v>
      </c>
      <c r="AW31" s="58" t="s">
        <v>40</v>
      </c>
      <c r="AX31" s="58" t="s">
        <v>40</v>
      </c>
      <c r="AY31" s="58" t="s">
        <v>40</v>
      </c>
      <c r="AZ31" s="58" t="s">
        <v>40</v>
      </c>
      <c r="BA31" s="58" t="s">
        <v>40</v>
      </c>
      <c r="BB31" s="58" t="s">
        <v>40</v>
      </c>
      <c r="BC31" s="58" t="s">
        <v>40</v>
      </c>
      <c r="BD31" s="58" t="s">
        <v>40</v>
      </c>
      <c r="BE31" s="58" t="s">
        <v>40</v>
      </c>
      <c r="BF31" s="58" t="s">
        <v>40</v>
      </c>
      <c r="BG31" s="58" t="s">
        <v>40</v>
      </c>
      <c r="BH31" s="58" t="s">
        <v>40</v>
      </c>
      <c r="BI31" s="58" t="s">
        <v>40</v>
      </c>
      <c r="BJ31" s="58" t="s">
        <v>40</v>
      </c>
      <c r="BK31" s="58" t="s">
        <v>40</v>
      </c>
      <c r="BL31" s="58" t="s">
        <v>40</v>
      </c>
      <c r="BM31" s="58" t="s">
        <v>40</v>
      </c>
      <c r="BN31" s="58" t="s">
        <v>40</v>
      </c>
      <c r="BO31" s="58" t="s">
        <v>40</v>
      </c>
      <c r="BP31" s="58" t="s">
        <v>40</v>
      </c>
      <c r="BQ31" s="58" t="s">
        <v>40</v>
      </c>
      <c r="BR31" s="58" t="s">
        <v>40</v>
      </c>
      <c r="BS31" s="58" t="s">
        <v>40</v>
      </c>
      <c r="BT31" s="58" t="s">
        <v>40</v>
      </c>
      <c r="BU31" s="58" t="s">
        <v>40</v>
      </c>
      <c r="BV31" s="58" t="s">
        <v>40</v>
      </c>
      <c r="BW31" s="58" t="s">
        <v>40</v>
      </c>
      <c r="BX31" s="58" t="s">
        <v>40</v>
      </c>
      <c r="BY31" s="58" t="s">
        <v>40</v>
      </c>
      <c r="BZ31" s="58" t="s">
        <v>40</v>
      </c>
      <c r="CA31" s="58" t="s">
        <v>40</v>
      </c>
      <c r="CB31" s="58" t="s">
        <v>40</v>
      </c>
      <c r="CC31" s="58" t="s">
        <v>40</v>
      </c>
      <c r="CD31" s="58" t="s">
        <v>40</v>
      </c>
      <c r="CE31" s="58" t="s">
        <v>40</v>
      </c>
      <c r="CF31" s="58" t="s">
        <v>40</v>
      </c>
      <c r="CG31" s="63">
        <v>771.3</v>
      </c>
      <c r="CH31" s="63">
        <v>824.6</v>
      </c>
      <c r="CI31" s="63">
        <v>871.7</v>
      </c>
      <c r="CJ31" s="63">
        <v>897.3</v>
      </c>
      <c r="CK31" s="63">
        <v>878.1</v>
      </c>
      <c r="CL31" s="63">
        <v>848.2</v>
      </c>
      <c r="CM31" s="63">
        <v>792.4</v>
      </c>
      <c r="CN31" s="63">
        <v>760.4</v>
      </c>
      <c r="CO31" s="63">
        <v>744.9</v>
      </c>
      <c r="CP31" s="63">
        <v>741.1</v>
      </c>
      <c r="CQ31" s="63">
        <v>748.3</v>
      </c>
      <c r="CR31" s="63">
        <v>774.6</v>
      </c>
      <c r="CS31" s="63">
        <v>816.3</v>
      </c>
      <c r="CT31" s="63">
        <v>839.7</v>
      </c>
      <c r="CU31" s="63">
        <v>832.3</v>
      </c>
      <c r="CV31" s="63">
        <v>800.8</v>
      </c>
      <c r="CW31" s="63">
        <v>830.5</v>
      </c>
      <c r="CX31" s="63">
        <v>863.5</v>
      </c>
      <c r="CY31" s="63">
        <v>873.6</v>
      </c>
    </row>
    <row r="32">
      <c r="A32" s="58">
        <v>25.0</v>
      </c>
      <c r="B32" s="58" t="s">
        <v>58</v>
      </c>
      <c r="C32" s="58"/>
      <c r="D32" s="58" t="s">
        <v>40</v>
      </c>
      <c r="E32" s="58"/>
      <c r="F32" s="58" t="s">
        <v>40</v>
      </c>
      <c r="G32" s="58"/>
      <c r="H32" s="58" t="s">
        <v>40</v>
      </c>
      <c r="I32" s="58"/>
      <c r="J32" s="58" t="s">
        <v>40</v>
      </c>
      <c r="K32" s="58" t="s">
        <v>40</v>
      </c>
      <c r="L32" s="58" t="s">
        <v>40</v>
      </c>
      <c r="M32" s="58" t="s">
        <v>40</v>
      </c>
      <c r="N32" s="58" t="s">
        <v>40</v>
      </c>
      <c r="O32" s="58" t="s">
        <v>40</v>
      </c>
      <c r="P32" s="58" t="s">
        <v>40</v>
      </c>
      <c r="Q32" s="58" t="s">
        <v>40</v>
      </c>
      <c r="R32" s="58" t="s">
        <v>40</v>
      </c>
      <c r="S32" s="58" t="s">
        <v>40</v>
      </c>
      <c r="T32" s="58" t="s">
        <v>40</v>
      </c>
      <c r="U32" s="58" t="s">
        <v>40</v>
      </c>
      <c r="V32" s="58" t="s">
        <v>40</v>
      </c>
      <c r="W32" s="58" t="s">
        <v>40</v>
      </c>
      <c r="X32" s="58" t="s">
        <v>40</v>
      </c>
      <c r="Y32" s="58" t="s">
        <v>40</v>
      </c>
      <c r="Z32" s="58" t="s">
        <v>40</v>
      </c>
      <c r="AA32" s="58" t="s">
        <v>40</v>
      </c>
      <c r="AB32" s="58" t="s">
        <v>40</v>
      </c>
      <c r="AC32" s="58" t="s">
        <v>40</v>
      </c>
      <c r="AD32" s="58" t="s">
        <v>40</v>
      </c>
      <c r="AE32" s="58" t="s">
        <v>40</v>
      </c>
      <c r="AF32" s="58" t="s">
        <v>40</v>
      </c>
      <c r="AG32" s="58" t="s">
        <v>40</v>
      </c>
      <c r="AH32" s="58" t="s">
        <v>40</v>
      </c>
      <c r="AI32" s="58" t="s">
        <v>40</v>
      </c>
      <c r="AJ32" s="58" t="s">
        <v>40</v>
      </c>
      <c r="AK32" s="58" t="s">
        <v>40</v>
      </c>
      <c r="AL32" s="58" t="s">
        <v>40</v>
      </c>
      <c r="AM32" s="58" t="s">
        <v>40</v>
      </c>
      <c r="AN32" s="58" t="s">
        <v>40</v>
      </c>
      <c r="AO32" s="58" t="s">
        <v>40</v>
      </c>
      <c r="AP32" s="58" t="s">
        <v>40</v>
      </c>
      <c r="AQ32" s="58" t="s">
        <v>40</v>
      </c>
      <c r="AR32" s="58" t="s">
        <v>40</v>
      </c>
      <c r="AS32" s="58" t="s">
        <v>40</v>
      </c>
      <c r="AT32" s="58" t="s">
        <v>40</v>
      </c>
      <c r="AU32" s="58" t="s">
        <v>40</v>
      </c>
      <c r="AV32" s="58" t="s">
        <v>40</v>
      </c>
      <c r="AW32" s="58" t="s">
        <v>40</v>
      </c>
      <c r="AX32" s="58" t="s">
        <v>40</v>
      </c>
      <c r="AY32" s="58" t="s">
        <v>40</v>
      </c>
      <c r="AZ32" s="58" t="s">
        <v>40</v>
      </c>
      <c r="BA32" s="58" t="s">
        <v>40</v>
      </c>
      <c r="BB32" s="58" t="s">
        <v>40</v>
      </c>
      <c r="BC32" s="58" t="s">
        <v>40</v>
      </c>
      <c r="BD32" s="58" t="s">
        <v>40</v>
      </c>
      <c r="BE32" s="58" t="s">
        <v>40</v>
      </c>
      <c r="BF32" s="58" t="s">
        <v>40</v>
      </c>
      <c r="BG32" s="58" t="s">
        <v>40</v>
      </c>
      <c r="BH32" s="58" t="s">
        <v>40</v>
      </c>
      <c r="BI32" s="58" t="s">
        <v>40</v>
      </c>
      <c r="BJ32" s="58" t="s">
        <v>40</v>
      </c>
      <c r="BK32" s="58" t="s">
        <v>40</v>
      </c>
      <c r="BL32" s="58" t="s">
        <v>40</v>
      </c>
      <c r="BM32" s="58" t="s">
        <v>40</v>
      </c>
      <c r="BN32" s="58" t="s">
        <v>40</v>
      </c>
      <c r="BO32" s="58" t="s">
        <v>40</v>
      </c>
      <c r="BP32" s="58" t="s">
        <v>40</v>
      </c>
      <c r="BQ32" s="58" t="s">
        <v>40</v>
      </c>
      <c r="BR32" s="58" t="s">
        <v>40</v>
      </c>
      <c r="BS32" s="58" t="s">
        <v>40</v>
      </c>
      <c r="BT32" s="58" t="s">
        <v>40</v>
      </c>
      <c r="BU32" s="58" t="s">
        <v>40</v>
      </c>
      <c r="BV32" s="58" t="s">
        <v>40</v>
      </c>
      <c r="BW32" s="58" t="s">
        <v>40</v>
      </c>
      <c r="BX32" s="58" t="s">
        <v>40</v>
      </c>
      <c r="BY32" s="58" t="s">
        <v>40</v>
      </c>
      <c r="BZ32" s="58" t="s">
        <v>40</v>
      </c>
      <c r="CA32" s="58" t="s">
        <v>40</v>
      </c>
      <c r="CB32" s="58" t="s">
        <v>40</v>
      </c>
      <c r="CC32" s="58" t="s">
        <v>40</v>
      </c>
      <c r="CD32" s="58" t="s">
        <v>40</v>
      </c>
      <c r="CE32" s="58" t="s">
        <v>40</v>
      </c>
      <c r="CF32" s="58" t="s">
        <v>40</v>
      </c>
      <c r="CG32" s="63">
        <v>438.0</v>
      </c>
      <c r="CH32" s="63">
        <v>461.2</v>
      </c>
      <c r="CI32" s="63">
        <v>494.3</v>
      </c>
      <c r="CJ32" s="63">
        <v>524.1</v>
      </c>
      <c r="CK32" s="63">
        <v>504.9</v>
      </c>
      <c r="CL32" s="63">
        <v>508.8</v>
      </c>
      <c r="CM32" s="63">
        <v>491.0</v>
      </c>
      <c r="CN32" s="63">
        <v>491.3</v>
      </c>
      <c r="CO32" s="63">
        <v>507.8</v>
      </c>
      <c r="CP32" s="63">
        <v>518.8</v>
      </c>
      <c r="CQ32" s="63">
        <v>517.8</v>
      </c>
      <c r="CR32" s="63">
        <v>535.3</v>
      </c>
      <c r="CS32" s="63">
        <v>544.1</v>
      </c>
      <c r="CT32" s="63">
        <v>606.4</v>
      </c>
      <c r="CU32" s="63">
        <v>640.7</v>
      </c>
      <c r="CV32" s="63">
        <v>623.3</v>
      </c>
      <c r="CW32" s="63">
        <v>640.9</v>
      </c>
      <c r="CX32" s="63">
        <v>663.9</v>
      </c>
      <c r="CY32" s="63">
        <v>635.7</v>
      </c>
    </row>
    <row r="33">
      <c r="A33" s="58">
        <v>26.0</v>
      </c>
      <c r="B33" s="58" t="s">
        <v>59</v>
      </c>
      <c r="C33" s="58"/>
      <c r="D33" s="58" t="s">
        <v>40</v>
      </c>
      <c r="E33" s="58"/>
      <c r="F33" s="58" t="s">
        <v>40</v>
      </c>
      <c r="G33" s="58"/>
      <c r="H33" s="58" t="s">
        <v>40</v>
      </c>
      <c r="I33" s="58"/>
      <c r="J33" s="58" t="s">
        <v>40</v>
      </c>
      <c r="K33" s="58" t="s">
        <v>40</v>
      </c>
      <c r="L33" s="58" t="s">
        <v>40</v>
      </c>
      <c r="M33" s="58" t="s">
        <v>40</v>
      </c>
      <c r="N33" s="58" t="s">
        <v>40</v>
      </c>
      <c r="O33" s="58" t="s">
        <v>40</v>
      </c>
      <c r="P33" s="58" t="s">
        <v>40</v>
      </c>
      <c r="Q33" s="58" t="s">
        <v>40</v>
      </c>
      <c r="R33" s="58" t="s">
        <v>40</v>
      </c>
      <c r="S33" s="58" t="s">
        <v>40</v>
      </c>
      <c r="T33" s="58" t="s">
        <v>40</v>
      </c>
      <c r="U33" s="58" t="s">
        <v>40</v>
      </c>
      <c r="V33" s="58" t="s">
        <v>40</v>
      </c>
      <c r="W33" s="58" t="s">
        <v>40</v>
      </c>
      <c r="X33" s="58" t="s">
        <v>40</v>
      </c>
      <c r="Y33" s="58" t="s">
        <v>40</v>
      </c>
      <c r="Z33" s="58" t="s">
        <v>40</v>
      </c>
      <c r="AA33" s="58" t="s">
        <v>40</v>
      </c>
      <c r="AB33" s="58" t="s">
        <v>40</v>
      </c>
      <c r="AC33" s="58" t="s">
        <v>40</v>
      </c>
      <c r="AD33" s="58" t="s">
        <v>40</v>
      </c>
      <c r="AE33" s="58" t="s">
        <v>40</v>
      </c>
      <c r="AF33" s="58" t="s">
        <v>40</v>
      </c>
      <c r="AG33" s="58" t="s">
        <v>40</v>
      </c>
      <c r="AH33" s="58" t="s">
        <v>40</v>
      </c>
      <c r="AI33" s="58" t="s">
        <v>40</v>
      </c>
      <c r="AJ33" s="58" t="s">
        <v>40</v>
      </c>
      <c r="AK33" s="58" t="s">
        <v>40</v>
      </c>
      <c r="AL33" s="58" t="s">
        <v>40</v>
      </c>
      <c r="AM33" s="58" t="s">
        <v>40</v>
      </c>
      <c r="AN33" s="58" t="s">
        <v>40</v>
      </c>
      <c r="AO33" s="58" t="s">
        <v>40</v>
      </c>
      <c r="AP33" s="58" t="s">
        <v>40</v>
      </c>
      <c r="AQ33" s="58" t="s">
        <v>40</v>
      </c>
      <c r="AR33" s="58" t="s">
        <v>40</v>
      </c>
      <c r="AS33" s="58" t="s">
        <v>40</v>
      </c>
      <c r="AT33" s="58" t="s">
        <v>40</v>
      </c>
      <c r="AU33" s="58" t="s">
        <v>40</v>
      </c>
      <c r="AV33" s="58" t="s">
        <v>40</v>
      </c>
      <c r="AW33" s="58" t="s">
        <v>40</v>
      </c>
      <c r="AX33" s="58" t="s">
        <v>40</v>
      </c>
      <c r="AY33" s="58" t="s">
        <v>40</v>
      </c>
      <c r="AZ33" s="58" t="s">
        <v>40</v>
      </c>
      <c r="BA33" s="58" t="s">
        <v>40</v>
      </c>
      <c r="BB33" s="58" t="s">
        <v>40</v>
      </c>
      <c r="BC33" s="58" t="s">
        <v>40</v>
      </c>
      <c r="BD33" s="58" t="s">
        <v>40</v>
      </c>
      <c r="BE33" s="58" t="s">
        <v>40</v>
      </c>
      <c r="BF33" s="58" t="s">
        <v>40</v>
      </c>
      <c r="BG33" s="58" t="s">
        <v>40</v>
      </c>
      <c r="BH33" s="58" t="s">
        <v>40</v>
      </c>
      <c r="BI33" s="58" t="s">
        <v>40</v>
      </c>
      <c r="BJ33" s="58" t="s">
        <v>40</v>
      </c>
      <c r="BK33" s="58" t="s">
        <v>40</v>
      </c>
      <c r="BL33" s="58" t="s">
        <v>40</v>
      </c>
      <c r="BM33" s="58" t="s">
        <v>40</v>
      </c>
      <c r="BN33" s="58" t="s">
        <v>40</v>
      </c>
      <c r="BO33" s="58" t="s">
        <v>40</v>
      </c>
      <c r="BP33" s="58" t="s">
        <v>40</v>
      </c>
      <c r="BQ33" s="58" t="s">
        <v>40</v>
      </c>
      <c r="BR33" s="58" t="s">
        <v>40</v>
      </c>
      <c r="BS33" s="58" t="s">
        <v>40</v>
      </c>
      <c r="BT33" s="58" t="s">
        <v>40</v>
      </c>
      <c r="BU33" s="58" t="s">
        <v>40</v>
      </c>
      <c r="BV33" s="58" t="s">
        <v>40</v>
      </c>
      <c r="BW33" s="58" t="s">
        <v>40</v>
      </c>
      <c r="BX33" s="58" t="s">
        <v>40</v>
      </c>
      <c r="BY33" s="58" t="s">
        <v>40</v>
      </c>
      <c r="BZ33" s="58" t="s">
        <v>40</v>
      </c>
      <c r="CA33" s="58" t="s">
        <v>40</v>
      </c>
      <c r="CB33" s="58" t="s">
        <v>40</v>
      </c>
      <c r="CC33" s="58" t="s">
        <v>40</v>
      </c>
      <c r="CD33" s="58" t="s">
        <v>40</v>
      </c>
      <c r="CE33" s="58" t="s">
        <v>40</v>
      </c>
      <c r="CF33" s="58" t="s">
        <v>40</v>
      </c>
      <c r="CG33" s="63">
        <v>2131.7</v>
      </c>
      <c r="CH33" s="63">
        <v>2136.8</v>
      </c>
      <c r="CI33" s="63">
        <v>2177.9</v>
      </c>
      <c r="CJ33" s="63">
        <v>2117.0</v>
      </c>
      <c r="CK33" s="63">
        <v>2042.3</v>
      </c>
      <c r="CL33" s="63">
        <v>1997.7</v>
      </c>
      <c r="CM33" s="63">
        <v>1991.8</v>
      </c>
      <c r="CN33" s="63">
        <v>1995.3</v>
      </c>
      <c r="CO33" s="63">
        <v>2060.8</v>
      </c>
      <c r="CP33" s="63">
        <v>2118.5</v>
      </c>
      <c r="CQ33" s="63">
        <v>2131.1</v>
      </c>
      <c r="CR33" s="63">
        <v>2155.2</v>
      </c>
      <c r="CS33" s="63">
        <v>2240.2</v>
      </c>
      <c r="CT33" s="63">
        <v>2277.5</v>
      </c>
      <c r="CU33" s="63">
        <v>2247.9</v>
      </c>
      <c r="CV33" s="63">
        <v>2248.6</v>
      </c>
      <c r="CW33" s="63">
        <v>2329.2</v>
      </c>
      <c r="CX33" s="63">
        <v>2417.8</v>
      </c>
      <c r="CY33" s="63">
        <v>2478.5</v>
      </c>
    </row>
    <row r="34">
      <c r="A34" s="58">
        <v>27.0</v>
      </c>
      <c r="B34" s="58" t="s">
        <v>60</v>
      </c>
      <c r="C34" s="63"/>
      <c r="D34" s="63">
        <v>2.2</v>
      </c>
      <c r="E34" s="63"/>
      <c r="F34" s="63">
        <v>-31.0</v>
      </c>
      <c r="G34" s="63"/>
      <c r="H34" s="63">
        <v>-53.6</v>
      </c>
      <c r="I34" s="63"/>
      <c r="J34" s="63">
        <v>-71.2</v>
      </c>
      <c r="K34" s="63">
        <v>-65.1</v>
      </c>
      <c r="L34" s="63">
        <v>-67.2</v>
      </c>
      <c r="M34" s="63">
        <v>-59.1</v>
      </c>
      <c r="N34" s="63">
        <v>-66.5</v>
      </c>
      <c r="O34" s="63">
        <v>-52.6</v>
      </c>
      <c r="P34" s="63">
        <v>-71.8</v>
      </c>
      <c r="Q34" s="63">
        <v>-73.0</v>
      </c>
      <c r="R34" s="63">
        <v>-61.7</v>
      </c>
      <c r="S34" s="63">
        <v>-126.2</v>
      </c>
      <c r="T34" s="63">
        <v>-414.9</v>
      </c>
      <c r="U34" s="63">
        <v>-682.3</v>
      </c>
      <c r="V34" s="63">
        <v>-771.0</v>
      </c>
      <c r="W34" s="63">
        <v>-633.4</v>
      </c>
      <c r="X34" s="63">
        <v>-45.7</v>
      </c>
      <c r="Y34" s="63">
        <v>-1.8</v>
      </c>
      <c r="Z34" s="63">
        <v>-4.4</v>
      </c>
      <c r="AA34" s="63">
        <v>-58.1</v>
      </c>
      <c r="AB34" s="63">
        <v>-22.2</v>
      </c>
      <c r="AC34" s="63">
        <v>-101.3</v>
      </c>
      <c r="AD34" s="63">
        <v>-185.1</v>
      </c>
      <c r="AE34" s="63">
        <v>-208.5</v>
      </c>
      <c r="AF34" s="63">
        <v>-182.4</v>
      </c>
      <c r="AG34" s="63">
        <v>-131.3</v>
      </c>
      <c r="AH34" s="63">
        <v>-126.2</v>
      </c>
      <c r="AI34" s="63">
        <v>-145.7</v>
      </c>
      <c r="AJ34" s="63">
        <v>-181.0</v>
      </c>
      <c r="AK34" s="63">
        <v>-156.3</v>
      </c>
      <c r="AL34" s="63">
        <v>-148.5</v>
      </c>
      <c r="AM34" s="63">
        <v>-168.0</v>
      </c>
      <c r="AN34" s="63">
        <v>-171.5</v>
      </c>
      <c r="AO34" s="63">
        <v>-164.0</v>
      </c>
      <c r="AP34" s="63">
        <v>-151.0</v>
      </c>
      <c r="AQ34" s="63">
        <v>-135.6</v>
      </c>
      <c r="AR34" s="63">
        <v>-149.8</v>
      </c>
      <c r="AS34" s="63">
        <v>-194.9</v>
      </c>
      <c r="AT34" s="63">
        <v>-195.0</v>
      </c>
      <c r="AU34" s="63">
        <v>-179.6</v>
      </c>
      <c r="AV34" s="63">
        <v>-178.4</v>
      </c>
      <c r="AW34" s="63">
        <v>-148.2</v>
      </c>
      <c r="AX34" s="63">
        <v>-118.9</v>
      </c>
      <c r="AY34" s="63">
        <v>-72.2</v>
      </c>
      <c r="AZ34" s="63">
        <v>-82.5</v>
      </c>
      <c r="BA34" s="63">
        <v>-125.3</v>
      </c>
      <c r="BB34" s="63">
        <v>-102.7</v>
      </c>
      <c r="BC34" s="63">
        <v>-79.4</v>
      </c>
      <c r="BD34" s="63">
        <v>-44.2</v>
      </c>
      <c r="BE34" s="63">
        <v>-16.9</v>
      </c>
      <c r="BF34" s="63">
        <v>-17.4</v>
      </c>
      <c r="BG34" s="63">
        <v>12.1</v>
      </c>
      <c r="BH34" s="63">
        <v>-74.2</v>
      </c>
      <c r="BI34" s="63">
        <v>-96.2</v>
      </c>
      <c r="BJ34" s="63">
        <v>-52.9</v>
      </c>
      <c r="BK34" s="63">
        <v>-92.6</v>
      </c>
      <c r="BL34" s="63">
        <v>-124.1</v>
      </c>
      <c r="BM34" s="63">
        <v>-121.5</v>
      </c>
      <c r="BN34" s="63">
        <v>-94.3</v>
      </c>
      <c r="BO34" s="63">
        <v>-75.0</v>
      </c>
      <c r="BP34" s="63">
        <v>-89.2</v>
      </c>
      <c r="BQ34" s="63">
        <v>-102.8</v>
      </c>
      <c r="BR34" s="63">
        <v>-81.9</v>
      </c>
      <c r="BS34" s="63">
        <v>-66.3</v>
      </c>
      <c r="BT34" s="63">
        <v>-37.1</v>
      </c>
      <c r="BU34" s="63">
        <v>-24.8</v>
      </c>
      <c r="BV34" s="63">
        <v>-1.4</v>
      </c>
      <c r="BW34" s="63">
        <v>24.9</v>
      </c>
      <c r="BX34" s="63">
        <v>31.2</v>
      </c>
      <c r="BY34" s="63">
        <v>38.2</v>
      </c>
      <c r="BZ34" s="63">
        <v>43.5</v>
      </c>
      <c r="CA34" s="63">
        <v>12.4</v>
      </c>
      <c r="CB34" s="63">
        <v>-10.2</v>
      </c>
      <c r="CC34" s="63">
        <v>-8.5</v>
      </c>
      <c r="CD34" s="63">
        <v>2.1</v>
      </c>
      <c r="CE34" s="63">
        <v>13.4</v>
      </c>
      <c r="CF34" s="63">
        <v>13.3</v>
      </c>
      <c r="CG34" s="63">
        <v>-82.6</v>
      </c>
      <c r="CH34" s="63">
        <v>-91.7</v>
      </c>
      <c r="CI34" s="63">
        <v>-85.8</v>
      </c>
      <c r="CJ34" s="63">
        <v>-59.0</v>
      </c>
      <c r="CK34" s="63">
        <v>-39.3</v>
      </c>
      <c r="CL34" s="63">
        <v>-25.8</v>
      </c>
      <c r="CM34" s="63">
        <v>-8.9</v>
      </c>
      <c r="CN34" s="63">
        <v>-7.0</v>
      </c>
      <c r="CO34" s="63">
        <v>-6.8</v>
      </c>
      <c r="CP34" s="63">
        <v>-1.7</v>
      </c>
      <c r="CQ34" s="63">
        <v>0.0</v>
      </c>
      <c r="CR34" s="63">
        <v>-0.8</v>
      </c>
      <c r="CS34" s="63">
        <v>-5.4</v>
      </c>
      <c r="CT34" s="63">
        <v>-13.8</v>
      </c>
      <c r="CU34" s="63">
        <v>-14.1</v>
      </c>
      <c r="CV34" s="63">
        <v>-8.0</v>
      </c>
      <c r="CW34" s="63">
        <v>-37.7</v>
      </c>
      <c r="CX34" s="63">
        <v>-27.1</v>
      </c>
      <c r="CY34" s="63">
        <v>-74.4</v>
      </c>
    </row>
  </sheetData>
  <mergeCells count="4">
    <mergeCell ref="A1:CY1"/>
    <mergeCell ref="A2:CY2"/>
    <mergeCell ref="A3:CY3"/>
    <mergeCell ref="A4:CY4"/>
  </mergeCells>
  <hyperlinks>
    <hyperlink r:id="rId1" ref="A3"/>
  </hyperlinks>
  <drawing r:id="rId2"/>
</worksheet>
</file>